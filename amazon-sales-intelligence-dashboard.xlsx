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AHUL GAUTAM\OneDrive\Desktop\Data_Analyst\my_Project\Excel\"/>
    </mc:Choice>
  </mc:AlternateContent>
  <xr:revisionPtr revIDLastSave="0" documentId="13_ncr:1_{EDBC4F12-EB9B-4108-ADF3-A72682BA8C40}" xr6:coauthVersionLast="47" xr6:coauthVersionMax="47" xr10:uidLastSave="{00000000-0000-0000-0000-000000000000}"/>
  <bookViews>
    <workbookView xWindow="-110" yWindow="-110" windowWidth="19420" windowHeight="10300" tabRatio="848" firstSheet="1" activeTab="6" xr2:uid="{00000000-000D-0000-FFFF-FFFF00000000}"/>
  </bookViews>
  <sheets>
    <sheet name="AmazonSales" sheetId="1" r:id="rId1"/>
    <sheet name="Customer Master" sheetId="9" r:id="rId2"/>
    <sheet name="Sales" sheetId="10" r:id="rId3"/>
    <sheet name="Advance Reporting" sheetId="11" r:id="rId4"/>
    <sheet name="Pivot Table" sheetId="8" r:id="rId5"/>
    <sheet name="Dashboard data" sheetId="18" r:id="rId6"/>
    <sheet name="Dashboard" sheetId="15" r:id="rId7"/>
    <sheet name="ProductMaster" sheetId="2" r:id="rId8"/>
    <sheet name="RegionGoals" sheetId="3" r:id="rId9"/>
    <sheet name="CustomerMaster" sheetId="4" r:id="rId10"/>
  </sheets>
  <definedNames>
    <definedName name="_xlnm._FilterDatabase" localSheetId="3" hidden="1">'Advance Reporting'!$L$1:$L$1000</definedName>
    <definedName name="_xlnm._FilterDatabase" localSheetId="0" hidden="1">AmazonSales!$I$1:$I$1000</definedName>
    <definedName name="Slicer_Delivery_Status">#N/A</definedName>
    <definedName name="Slicer_Payment_Method">#N/A</definedName>
    <definedName name="Slicer_Region">#N/A</definedName>
  </definedNames>
  <calcPr calcId="191029"/>
  <pivotCaches>
    <pivotCache cacheId="17" r:id="rId11"/>
    <pivotCache cacheId="18" r:id="rId12"/>
    <pivotCache cacheId="19" r:id="rId13"/>
    <pivotCache cacheId="20" r:id="rId14"/>
    <pivotCache cacheId="21" r:id="rId15"/>
    <pivotCache cacheId="22" r:id="rId16"/>
    <pivotCache cacheId="23"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uri="GoogleSheetsCustomDataVersion2">
      <go:sheetsCustomData xmlns:go="http://customooxmlschemas.google.com/" r:id="rId21" roundtripDataChecksum="Oi3DSMdMJAgU0wVTnAHqewjuYyq0O6KvV6uMw0ZD7pg="/>
    </ext>
  </extLst>
</workbook>
</file>

<file path=xl/calcChain.xml><?xml version="1.0" encoding="utf-8"?>
<calcChain xmlns="http://schemas.openxmlformats.org/spreadsheetml/2006/main">
  <c r="Q17" i="18" l="1"/>
  <c r="Q1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10" i="18"/>
  <c r="H9" i="18"/>
  <c r="H8" i="18"/>
  <c r="H7" i="18"/>
  <c r="H6" i="18"/>
  <c r="H5" i="18"/>
  <c r="H4" i="18"/>
  <c r="H3" i="18"/>
  <c r="H2" i="18"/>
  <c r="O2" i="11"/>
  <c r="M2" i="11"/>
  <c r="M3" i="11" s="1"/>
  <c r="B19" i="11"/>
  <c r="B14" i="11"/>
  <c r="B11" i="11"/>
  <c r="B21" i="11"/>
  <c r="B22" i="11"/>
  <c r="B20" i="11"/>
  <c r="B4" i="11"/>
  <c r="B15" i="11"/>
  <c r="B7" i="11"/>
  <c r="B18" i="11"/>
  <c r="B6" i="11"/>
  <c r="B16" i="11"/>
  <c r="B9" i="11"/>
  <c r="B2" i="11"/>
  <c r="B3" i="11"/>
  <c r="B23" i="11"/>
  <c r="B10" i="11"/>
  <c r="B12" i="11"/>
  <c r="B17" i="11"/>
  <c r="B8" i="11"/>
  <c r="B5"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3" i="11"/>
  <c r="C2"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3" i="10"/>
  <c r="C4" i="10"/>
  <c r="C5" i="10"/>
  <c r="C6" i="10"/>
  <c r="C7" i="10"/>
  <c r="C8" i="10"/>
  <c r="C9" i="10"/>
  <c r="C10" i="10"/>
  <c r="C11"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2" i="10"/>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5" i="8"/>
  <c r="Y6" i="8"/>
  <c r="Y7" i="8"/>
  <c r="Y8" i="8"/>
  <c r="Y9" i="8"/>
  <c r="Y10" i="8"/>
  <c r="Y4" i="8"/>
  <c r="H88"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9" i="1"/>
  <c r="H90" i="1"/>
  <c r="H91" i="1"/>
  <c r="H92" i="1"/>
  <c r="H93" i="1"/>
  <c r="H94" i="1"/>
  <c r="H95" i="1"/>
  <c r="H96" i="1"/>
  <c r="H97" i="1"/>
  <c r="H98" i="1"/>
  <c r="H99" i="1"/>
  <c r="H100" i="1"/>
  <c r="H101" i="1"/>
  <c r="H2" i="1"/>
  <c r="AR84" i="1"/>
  <c r="AR18" i="1"/>
  <c r="AR25" i="1"/>
  <c r="AR26" i="1"/>
  <c r="AR27" i="1"/>
  <c r="AR34" i="1"/>
  <c r="AR36" i="1"/>
  <c r="AR38" i="1"/>
  <c r="AR42" i="1"/>
  <c r="AR43" i="1"/>
  <c r="AR47" i="1"/>
  <c r="AR48" i="1"/>
  <c r="AR49" i="1"/>
  <c r="AR51" i="1"/>
  <c r="AR53" i="1"/>
  <c r="AR54" i="1"/>
  <c r="AR56" i="1"/>
  <c r="AR57" i="1"/>
  <c r="AR58" i="1"/>
  <c r="AR63" i="1"/>
  <c r="AR65" i="1"/>
  <c r="AR68" i="1"/>
  <c r="AR72" i="1"/>
  <c r="AR75" i="1"/>
  <c r="AR77" i="1"/>
  <c r="AR78" i="1"/>
  <c r="AR81" i="1"/>
  <c r="AR92" i="1"/>
  <c r="AR94" i="1"/>
  <c r="AR97" i="1"/>
  <c r="AR98" i="1"/>
  <c r="AR99" i="1"/>
  <c r="AR3" i="1"/>
  <c r="AR6" i="1"/>
  <c r="Q20" i="18"/>
  <c r="Q14" i="18"/>
  <c r="Q2" i="11" l="1"/>
</calcChain>
</file>

<file path=xl/sharedStrings.xml><?xml version="1.0" encoding="utf-8"?>
<sst xmlns="http://schemas.openxmlformats.org/spreadsheetml/2006/main" count="3043" uniqueCount="346">
  <si>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</si>
  <si>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</si>
  <si>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</si>
  <si>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</si>
  <si>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</si>
  <si>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</si>
  <si>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</si>
  <si>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</si>
  <si>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</si>
  <si>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</si>
  <si>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</si>
  <si>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</si>
  <si>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</si>
  <si>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</si>
  <si>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</si>
  <si>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</si>
  <si>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</si>
  <si>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</si>
  <si>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</si>
  <si>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</si>
  <si>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</si>
  <si>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</si>
  <si>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</si>
  <si>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</si>
  <si>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</si>
  <si>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</si>
  <si>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</si>
  <si>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</si>
  <si>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</si>
  <si>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</si>
  <si>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</si>
  <si>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</si>
  <si>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</si>
  <si>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</si>
  <si>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</si>
  <si>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</si>
  <si>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</si>
  <si>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</si>
  <si>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</si>
  <si>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</si>
  <si>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</si>
  <si>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</si>
  <si>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</si>
  <si>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</si>
  <si>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</si>
  <si>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</si>
  <si>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</si>
  <si>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</si>
  <si>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</si>
  <si>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</si>
  <si>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</si>
  <si>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</si>
  <si>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</si>
  <si>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</si>
  <si>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</si>
  <si>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</si>
  <si>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</si>
  <si>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</si>
  <si>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</si>
  <si>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</si>
  <si>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</si>
  <si>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</si>
  <si>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</si>
  <si>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</si>
  <si>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</si>
  <si>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</si>
  <si>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</si>
  <si>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</si>
  <si>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</si>
  <si>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</si>
  <si>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</si>
  <si>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</si>
  <si>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</si>
  <si>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</si>
  <si>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</si>
  <si>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</si>
  <si>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</si>
  <si>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</si>
  <si>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</si>
  <si>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</si>
  <si>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</si>
  <si>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</si>
  <si>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</si>
  <si>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</si>
  <si>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</si>
  <si>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</si>
  <si>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</si>
  <si>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</si>
  <si>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</si>
  <si>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</si>
  <si>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</si>
  <si>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</si>
  <si>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</si>
  <si>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</si>
  <si>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</si>
  <si>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</si>
  <si>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</si>
  <si>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</si>
  <si>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</si>
  <si>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</si>
  <si>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</si>
  <si>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</si>
  <si>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</si>
  <si>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</si>
  <si>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</si>
  <si>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</si>
  <si>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</si>
  <si>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</si>
  <si>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</si>
  <si>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</si>
  <si>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</si>
  <si>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</si>
  <si>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</si>
  <si>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</si>
  <si>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</si>
  <si>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</si>
  <si>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</si>
  <si>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</si>
  <si>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</si>
  <si>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</si>
  <si>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</si>
  <si>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</si>
  <si>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</si>
  <si>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</si>
  <si>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</si>
  <si>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</si>
  <si>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</si>
  <si>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</si>
  <si>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</si>
  <si>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</si>
  <si>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</si>
  <si>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</si>
  <si>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</si>
  <si>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</si>
  <si>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</si>
  <si>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</si>
  <si>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</si>
  <si>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</si>
  <si>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</si>
  <si>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</si>
  <si>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</si>
  <si>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</si>
  <si>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</si>
  <si>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</si>
  <si>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</si>
  <si>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</si>
  <si>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</si>
  <si>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</si>
  <si>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</si>
  <si>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</si>
  <si>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</si>
  <si>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</si>
  <si>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</si>
  <si>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</si>
  <si>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</si>
  <si>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</si>
  <si>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</si>
  <si>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</si>
  <si>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</si>
  <si>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</si>
  <si>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</si>
  <si>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</si>
  <si>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</si>
  <si>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</si>
  <si>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</si>
  <si>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</si>
  <si>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</si>
  <si>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</si>
  <si>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</si>
  <si>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</si>
  <si>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</si>
  <si>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</si>
  <si>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</si>
  <si>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</si>
  <si>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</si>
  <si>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</si>
  <si>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</si>
  <si>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</si>
  <si>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</si>
  <si>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</si>
  <si>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</si>
  <si>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</si>
  <si>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</si>
  <si>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</si>
  <si>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</si>
  <si>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</si>
  <si>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</si>
  <si>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</si>
  <si>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</si>
  <si>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</si>
  <si>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</si>
  <si>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</si>
  <si>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</si>
  <si>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</si>
  <si>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</si>
  <si>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</si>
  <si>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</si>
  <si>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</si>
  <si>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</si>
  <si>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</si>
  <si>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</si>
  <si>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</si>
  <si>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</si>
  <si>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</si>
  <si>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</si>
  <si>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</si>
  <si>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</si>
  <si>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</si>
  <si>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</si>
  <si>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</si>
  <si>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</si>
  <si>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</si>
  <si>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</si>
  <si>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</si>
  <si>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</si>
  <si>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</si>
  <si>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</si>
  <si>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</si>
  <si>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</si>
  <si>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</si>
  <si>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</si>
  <si>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</si>
  <si>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</si>
  <si>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</si>
  <si>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</si>
  <si>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</si>
  <si>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</si>
  <si>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</si>
  <si>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</si>
  <si>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</si>
  <si>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</si>
  <si>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</si>
  <si>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</si>
  <si>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</si>
  <si>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</si>
  <si>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</si>
  <si>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</si>
  <si>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</si>
  <si>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</si>
  <si>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</si>
  <si>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</si>
  <si>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</si>
  <si>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</si>
  <si>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</si>
  <si>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</si>
  <si>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</si>
  <si>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</si>
  <si>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</si>
  <si>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</si>
  <si>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</si>
  <si>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</si>
  <si>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</si>
  <si>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</si>
  <si>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</si>
  <si>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</si>
  <si>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</si>
  <si>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</si>
  <si>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</si>
  <si>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</si>
  <si>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</si>
  <si>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</si>
  <si>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</si>
  <si>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</si>
  <si>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</si>
  <si>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</si>
  <si>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</si>
  <si>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</si>
  <si>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</si>
  <si>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</si>
  <si>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</si>
  <si>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</si>
  <si>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</si>
  <si>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</si>
  <si>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</si>
  <si>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</si>
  <si>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</si>
  <si>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</si>
  <si>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</si>
  <si>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</si>
  <si>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</si>
  <si>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</si>
  <si>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</si>
  <si>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</si>
  <si>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</si>
  <si>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</si>
  <si>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</si>
  <si>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</si>
  <si>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</si>
  <si>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</si>
  <si>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</si>
  <si>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</si>
  <si>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</si>
  <si>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</si>
  <si>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</si>
  <si>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</si>
  <si>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</si>
  <si>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</si>
  <si>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</si>
  <si>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</si>
  <si>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</si>
  <si>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</si>
  <si>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</si>
  <si>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</si>
  <si>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</si>
  <si>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</si>
  <si>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</si>
  <si>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</si>
  <si>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</si>
  <si>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</si>
  <si>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</si>
  <si>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</si>
  <si>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Average Delivery Time</t>
  </si>
  <si>
    <t>Sum of Total Amount</t>
  </si>
  <si>
    <t>Column Labels</t>
  </si>
  <si>
    <t>Grand Total</t>
  </si>
  <si>
    <t>Row Labels</t>
  </si>
  <si>
    <t xml:space="preserve">Average Delivery Time </t>
  </si>
  <si>
    <t xml:space="preserve">Average of Average Delivery Time </t>
  </si>
  <si>
    <t>% of Fast delivery</t>
  </si>
  <si>
    <t>Higest selling product</t>
  </si>
  <si>
    <t xml:space="preserve">Delivery </t>
  </si>
  <si>
    <t>Count of Delivery Status</t>
  </si>
  <si>
    <t xml:space="preserve">Dalivery  </t>
  </si>
  <si>
    <t xml:space="preserve">Add filter for Payment Method and Product Category </t>
  </si>
  <si>
    <r>
      <rPr>
        <b/>
        <sz val="14"/>
        <color rgb="FF000000"/>
        <rFont val="Times New Roman"/>
        <family val="1"/>
      </rPr>
      <t xml:space="preserve">  </t>
    </r>
    <r>
      <rPr>
        <b/>
        <sz val="14"/>
        <color rgb="FF000000"/>
        <rFont val="Calibri"/>
        <family val="2"/>
        <scheme val="minor"/>
      </rPr>
      <t>Average Delivery Time = Delivery Date – Order Date</t>
    </r>
  </si>
  <si>
    <r>
      <rPr>
        <sz val="14"/>
        <color rgb="FF000000"/>
        <rFont val="Times New Roman"/>
        <family val="1"/>
      </rPr>
      <t> </t>
    </r>
    <r>
      <rPr>
        <b/>
        <sz val="14"/>
        <color rgb="FF000000"/>
        <rFont val="Times New Roman"/>
        <family val="1"/>
      </rPr>
      <t xml:space="preserve"> </t>
    </r>
    <r>
      <rPr>
        <b/>
        <sz val="14"/>
        <color rgb="FF000000"/>
        <rFont val="Calibri"/>
        <family val="2"/>
        <scheme val="minor"/>
      </rPr>
      <t>Count of Orders by Delivery Status</t>
    </r>
  </si>
  <si>
    <r>
      <rPr>
        <sz val="14"/>
        <color rgb="FF000000"/>
        <rFont val="Times New Roman"/>
        <family val="1"/>
      </rPr>
      <t xml:space="preserve">   </t>
    </r>
    <r>
      <rPr>
        <b/>
        <sz val="14"/>
        <color rgb="FF000000"/>
        <rFont val="Calibri"/>
        <family val="2"/>
        <scheme val="minor"/>
      </rPr>
      <t>Show Total Sales Amount by Region and Product Category</t>
    </r>
  </si>
  <si>
    <t>Count of Order by Delivery Status</t>
  </si>
  <si>
    <t>Jan</t>
  </si>
  <si>
    <t>Feb</t>
  </si>
  <si>
    <t>Mar</t>
  </si>
  <si>
    <t>Apr</t>
  </si>
  <si>
    <t>May</t>
  </si>
  <si>
    <t>Jun</t>
  </si>
  <si>
    <t>Jul</t>
  </si>
  <si>
    <t>Aug</t>
  </si>
  <si>
    <t>Sep</t>
  </si>
  <si>
    <t>Oct</t>
  </si>
  <si>
    <t>Nov</t>
  </si>
  <si>
    <t>Dec</t>
  </si>
  <si>
    <t xml:space="preserve">  </t>
  </si>
  <si>
    <t>Effective Sales(Delivered)</t>
  </si>
  <si>
    <t>Sales</t>
  </si>
  <si>
    <t>Active / Successful Orders</t>
  </si>
  <si>
    <t>Highest Selling product</t>
  </si>
  <si>
    <t>Cancel Product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</si>
</sst>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5" formatCode="&quot;₹&quot;\ #,##0.00"/>
    <numFmt numFmtId="166" formatCode="&quot;₹&quot;\ #,##0"/>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font>
    <font>
      <b/>
      <sz val="11"/>
      <color theme="1"/>
      <name val="Calibri"/>
      <family val="2"/>
      <scheme val="minor"/>
    </font>
    <font>
      <sz val="11"/>
      <color theme="1"/>
      <name val="Calibri"/>
      <family val="2"/>
    </font>
    <font>
      <sz val="11"/>
      <color rgb="FF000000"/>
      <name val="Calibri"/>
      <family val="2"/>
      <scheme val="minor"/>
    </font>
    <font>
      <b/>
      <sz val="11"/>
      <name val="Calibri"/>
      <family val="2"/>
    </font>
    <font>
      <b/>
      <sz val="11"/>
      <name val="Calibri"/>
      <family val="2"/>
      <scheme val="minor"/>
    </font>
    <font>
      <sz val="11"/>
      <name val="Calibri"/>
      <family val="2"/>
      <scheme val="minor"/>
    </font>
    <font>
      <sz val="11"/>
      <color rgb="FF000000"/>
      <name val="Calibri"/>
      <family val="1"/>
      <scheme val="minor"/>
    </font>
    <font>
      <b/>
      <sz val="14"/>
      <color rgb="FF000000"/>
      <name val="Calibri"/>
      <family val="2"/>
      <scheme val="minor"/>
    </font>
    <font>
      <b/>
      <sz val="14"/>
      <color rgb="FF000000"/>
      <name val="Times New Roman"/>
      <family val="1"/>
    </font>
    <font>
      <b/>
      <sz val="14"/>
      <color rgb="FF000000"/>
      <name val="Calibri"/>
      <family val="1"/>
      <scheme val="minor"/>
    </font>
    <font>
      <sz val="14"/>
      <color rgb="FF000000"/>
      <name val="Times New Roman"/>
      <family val="1"/>
    </font>
    <font>
      <sz val="14"/>
      <color rgb="FF000000"/>
      <name val="Calibri"/>
      <family val="1"/>
      <scheme val="minor"/>
    </font>
    <font>
      <b/>
      <sz val="11"/>
      <color theme="1"/>
      <name val="Calibri"/>
      <scheme val="minor"/>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74">
    <xf numFmtId="0" fontId="0" fillId="0" borderId="0" xfId="0"/>
    <xf numFmtId="0" fontId="5" fillId="0" borderId="0" xfId="0" applyFont="1" applyAlignment="1">
      <alignment horizontal="left"/>
    </xf>
    <xf numFmtId="0" fontId="5" fillId="0" borderId="0" xfId="0" applyFont="1" applyAlignment="1">
      <alignment horizontal="right"/>
    </xf>
    <xf numFmtId="0" fontId="6" fillId="0" borderId="0" xfId="0" applyFont="1" applyAlignment="1">
      <alignment vertical="center"/>
    </xf>
    <xf numFmtId="1" fontId="0" fillId="0" borderId="0" xfId="0" applyNumberFormat="1"/>
    <xf numFmtId="0" fontId="0" fillId="0" borderId="0" xfId="0" pivotButton="1"/>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xf>
    <xf numFmtId="1" fontId="4" fillId="0" borderId="0" xfId="0" applyNumberFormat="1" applyFont="1" applyAlignment="1">
      <alignment horizontal="right" vertical="center"/>
    </xf>
    <xf numFmtId="1" fontId="5" fillId="0" borderId="0" xfId="0" applyNumberFormat="1" applyFont="1" applyAlignment="1">
      <alignment horizontal="right" vertical="center"/>
    </xf>
    <xf numFmtId="1" fontId="5" fillId="0" borderId="0" xfId="0" applyNumberFormat="1" applyFont="1" applyAlignment="1">
      <alignment horizontal="right"/>
    </xf>
    <xf numFmtId="0" fontId="7" fillId="0" borderId="0" xfId="0" applyFont="1" applyAlignment="1">
      <alignment horizontal="left" vertical="center"/>
    </xf>
    <xf numFmtId="1" fontId="5" fillId="0" borderId="0" xfId="0" applyNumberFormat="1" applyFont="1" applyAlignment="1">
      <alignment horizontal="left" vertical="center"/>
    </xf>
    <xf numFmtId="14" fontId="0" fillId="0" borderId="0" xfId="0" applyNumberFormat="1"/>
    <xf numFmtId="14" fontId="5" fillId="0" borderId="0" xfId="0" applyNumberFormat="1" applyFont="1"/>
    <xf numFmtId="0" fontId="5" fillId="0" borderId="0" xfId="0" applyFont="1"/>
    <xf numFmtId="0" fontId="5" fillId="0" borderId="0" xfId="0" applyFont="1" applyAlignment="1">
      <alignment horizontal="left" vertical="center" wrapText="1"/>
    </xf>
    <xf numFmtId="10" fontId="0" fillId="0" borderId="0" xfId="0" applyNumberFormat="1"/>
    <xf numFmtId="0" fontId="1" fillId="0" borderId="0" xfId="0" applyFont="1"/>
    <xf numFmtId="2" fontId="5" fillId="0" borderId="0" xfId="0" applyNumberFormat="1" applyFont="1"/>
    <xf numFmtId="2" fontId="0" fillId="0" borderId="0" xfId="0" applyNumberFormat="1"/>
    <xf numFmtId="164" fontId="0" fillId="0" borderId="0" xfId="0" applyNumberFormat="1"/>
    <xf numFmtId="0" fontId="11" fillId="0" borderId="0" xfId="0" applyFont="1" applyAlignment="1">
      <alignment horizontal="left" vertical="center"/>
    </xf>
    <xf numFmtId="0" fontId="11" fillId="0" borderId="0" xfId="0" applyFont="1" applyAlignment="1">
      <alignment horizontal="left" vertical="center" wrapText="1"/>
    </xf>
    <xf numFmtId="1" fontId="11" fillId="0" borderId="0" xfId="0" applyNumberFormat="1" applyFont="1" applyAlignment="1">
      <alignment horizontal="right" vertical="center" wrapText="1"/>
    </xf>
    <xf numFmtId="0" fontId="12" fillId="0" borderId="0" xfId="0" applyFont="1"/>
    <xf numFmtId="1" fontId="12" fillId="0" borderId="0" xfId="0" applyNumberFormat="1" applyFont="1"/>
    <xf numFmtId="0" fontId="13" fillId="0" borderId="0" xfId="0" applyFont="1"/>
    <xf numFmtId="14" fontId="13" fillId="0" borderId="0" xfId="0" applyNumberFormat="1" applyFont="1"/>
    <xf numFmtId="14" fontId="11" fillId="0" borderId="0" xfId="0" applyNumberFormat="1" applyFont="1" applyAlignment="1">
      <alignment horizontal="center" vertical="top"/>
    </xf>
    <xf numFmtId="2" fontId="11" fillId="0" borderId="0" xfId="0" applyNumberFormat="1" applyFont="1" applyAlignment="1">
      <alignment horizontal="center" vertical="top"/>
    </xf>
    <xf numFmtId="0" fontId="0" fillId="2" borderId="2" xfId="0" applyFill="1" applyBorder="1"/>
    <xf numFmtId="1" fontId="0" fillId="2" borderId="2" xfId="0" applyNumberFormat="1" applyFill="1" applyBorder="1"/>
    <xf numFmtId="0" fontId="1" fillId="2" borderId="2" xfId="0" applyFont="1" applyFill="1" applyBorder="1"/>
    <xf numFmtId="0" fontId="5" fillId="2" borderId="2" xfId="0" applyFont="1" applyFill="1" applyBorder="1" applyAlignment="1">
      <alignment horizontal="left" vertical="center"/>
    </xf>
    <xf numFmtId="1" fontId="5" fillId="2" borderId="2" xfId="0" applyNumberFormat="1" applyFont="1" applyFill="1" applyBorder="1" applyAlignment="1">
      <alignment horizontal="right" vertical="center"/>
    </xf>
    <xf numFmtId="0" fontId="8" fillId="2" borderId="2" xfId="0" applyFont="1" applyFill="1" applyBorder="1"/>
    <xf numFmtId="0" fontId="4" fillId="2" borderId="2" xfId="0" applyFont="1" applyFill="1" applyBorder="1" applyAlignment="1">
      <alignment horizontal="left" vertical="center"/>
    </xf>
    <xf numFmtId="1" fontId="4" fillId="2" borderId="2" xfId="0" applyNumberFormat="1" applyFont="1" applyFill="1" applyBorder="1" applyAlignment="1">
      <alignment horizontal="right" vertical="center"/>
    </xf>
    <xf numFmtId="0" fontId="9" fillId="2" borderId="2" xfId="0" applyFont="1" applyFill="1" applyBorder="1" applyAlignment="1">
      <alignment horizontal="left" vertical="center"/>
    </xf>
    <xf numFmtId="0" fontId="11" fillId="2" borderId="2" xfId="0" applyFont="1" applyFill="1" applyBorder="1" applyAlignment="1">
      <alignment horizontal="left" vertical="center"/>
    </xf>
    <xf numFmtId="14" fontId="11" fillId="2" borderId="2" xfId="0" applyNumberFormat="1" applyFont="1" applyFill="1" applyBorder="1" applyAlignment="1">
      <alignment horizontal="center" vertical="top"/>
    </xf>
    <xf numFmtId="2" fontId="11" fillId="2" borderId="2" xfId="0" applyNumberFormat="1" applyFont="1" applyFill="1" applyBorder="1" applyAlignment="1">
      <alignment horizontal="center" vertical="top"/>
    </xf>
    <xf numFmtId="0" fontId="12" fillId="2" borderId="2" xfId="0" applyFont="1" applyFill="1" applyBorder="1"/>
    <xf numFmtId="1" fontId="11" fillId="2" borderId="2" xfId="0" applyNumberFormat="1" applyFont="1" applyFill="1" applyBorder="1" applyAlignment="1">
      <alignment horizontal="right" vertical="center"/>
    </xf>
    <xf numFmtId="14" fontId="5" fillId="2" borderId="2" xfId="0" applyNumberFormat="1" applyFont="1" applyFill="1" applyBorder="1"/>
    <xf numFmtId="0" fontId="5" fillId="2" borderId="2" xfId="0" applyFont="1" applyFill="1" applyBorder="1"/>
    <xf numFmtId="0" fontId="2" fillId="2" borderId="2" xfId="0" applyFont="1" applyFill="1" applyBorder="1"/>
    <xf numFmtId="0" fontId="3" fillId="2" borderId="2" xfId="0" applyFont="1" applyFill="1" applyBorder="1"/>
    <xf numFmtId="0" fontId="4"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7" fillId="2" borderId="2" xfId="0" applyFont="1" applyFill="1" applyBorder="1" applyAlignment="1">
      <alignment horizontal="left" vertical="center"/>
    </xf>
    <xf numFmtId="1" fontId="7" fillId="2" borderId="2" xfId="0" applyNumberFormat="1" applyFont="1" applyFill="1" applyBorder="1" applyAlignment="1">
      <alignment horizontal="righ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righ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right" vertical="center" wrapText="1"/>
    </xf>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3" fontId="5" fillId="2" borderId="1" xfId="0" applyNumberFormat="1" applyFont="1" applyFill="1" applyBorder="1"/>
    <xf numFmtId="2" fontId="5" fillId="0" borderId="0" xfId="0" applyNumberFormat="1" applyFont="1" applyAlignment="1">
      <alignment horizontal="left" vertical="center"/>
    </xf>
    <xf numFmtId="165" fontId="0" fillId="0" borderId="0" xfId="0" applyNumberFormat="1"/>
    <xf numFmtId="166"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0" fontId="17" fillId="0" borderId="0" xfId="0" applyFont="1" applyAlignment="1">
      <alignment horizontal="center" vertical="center"/>
    </xf>
    <xf numFmtId="0" fontId="15" fillId="0" borderId="0" xfId="0" applyFont="1" applyAlignment="1">
      <alignment horizontal="center" vertical="center"/>
    </xf>
    <xf numFmtId="0" fontId="10" fillId="0" borderId="0" xfId="0" applyFont="1" applyAlignment="1">
      <alignment horizontal="center" vertical="center"/>
    </xf>
    <xf numFmtId="0" fontId="20" fillId="0" borderId="0" xfId="0" applyFont="1" applyAlignment="1">
      <alignment horizontal="center"/>
    </xf>
    <xf numFmtId="14" fontId="0" fillId="0" borderId="0" xfId="0" applyNumberFormat="1" applyAlignment="1">
      <alignment horizontal="center"/>
    </xf>
    <xf numFmtId="0" fontId="5" fillId="3" borderId="3" xfId="0" applyFont="1" applyFill="1" applyBorder="1" applyAlignment="1">
      <alignment horizontal="center" vertical="center"/>
    </xf>
    <xf numFmtId="0" fontId="5" fillId="3" borderId="0" xfId="0" applyFont="1" applyFill="1" applyAlignment="1">
      <alignment horizontal="center" vertical="center"/>
    </xf>
  </cellXfs>
  <cellStyles count="1">
    <cellStyle name="Normal" xfId="0" builtinId="0"/>
  </cellStyles>
  <dxfs count="49">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[3Week.xlsx]Advance Reporting!PivotTable18</c:name>
    <c:fmtId val="0"/>
  </c:pivotSource>
  <c:chart>
    <c:title>
      <c:layout>
        <c:manualLayout>
          <c:xMode val="edge"/>
          <c:yMode val="edge"/>
          <c:x val="0.5279693486590038"/>
          <c:y val="0.149446536574232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 Reporting'!$T$3</c:f>
              <c:strCache>
                <c:ptCount val="1"/>
                <c:pt idx="0">
                  <c:v>Total</c:v>
                </c:pt>
              </c:strCache>
            </c:strRef>
          </c:tx>
          <c:spPr>
            <a:solidFill>
              <a:schemeClr val="accent1"/>
            </a:solidFill>
            <a:ln>
              <a:noFill/>
            </a:ln>
            <a:effectLst/>
          </c:spPr>
          <c:invertIfNegative val="0"/>
          <c:cat>
            <c:strRef>
              <c:f>'Advance Reporting'!$S$4:$S$7</c:f>
              <c:strCache>
                <c:ptCount val="3"/>
                <c:pt idx="0">
                  <c:v>North</c:v>
                </c:pt>
                <c:pt idx="1">
                  <c:v>South</c:v>
                </c:pt>
                <c:pt idx="2">
                  <c:v>West</c:v>
                </c:pt>
              </c:strCache>
            </c:strRef>
          </c:cat>
          <c:val>
            <c:numRef>
              <c:f>'Advance Reporting'!$T$4:$T$7</c:f>
              <c:numCache>
                <c:formatCode>0</c:formatCode>
                <c:ptCount val="3"/>
                <c:pt idx="0">
                  <c:v>10491</c:v>
                </c:pt>
                <c:pt idx="1">
                  <c:v>7317</c:v>
                </c:pt>
                <c:pt idx="2">
                  <c:v>8359</c:v>
                </c:pt>
              </c:numCache>
            </c:numRef>
          </c:val>
          <c:extLst>
            <c:ext xmlns:c16="http://schemas.microsoft.com/office/drawing/2014/chart" uri="{C3380CC4-5D6E-409C-BE32-E72D297353CC}">
              <c16:uniqueId val="{00000000-AD34-40A0-967B-BA22DEB135A3}"/>
            </c:ext>
          </c:extLst>
        </c:ser>
        <c:dLbls>
          <c:showLegendKey val="0"/>
          <c:showVal val="0"/>
          <c:showCatName val="0"/>
          <c:showSerName val="0"/>
          <c:showPercent val="0"/>
          <c:showBubbleSize val="0"/>
        </c:dLbls>
        <c:gapWidth val="219"/>
        <c:overlap val="-27"/>
        <c:axId val="1971165279"/>
        <c:axId val="1971160479"/>
      </c:barChart>
      <c:catAx>
        <c:axId val="197116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60479"/>
        <c:crosses val="autoZero"/>
        <c:auto val="1"/>
        <c:lblAlgn val="ctr"/>
        <c:lblOffset val="100"/>
        <c:noMultiLvlLbl val="0"/>
      </c:catAx>
      <c:valAx>
        <c:axId val="1971160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6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[3Week.xlsx]Dashboard data!PivotTable24</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Sales by Region and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data'!$R$1:$R$2</c:f>
              <c:strCache>
                <c:ptCount val="1"/>
                <c:pt idx="0">
                  <c:v>Books</c:v>
                </c:pt>
              </c:strCache>
            </c:strRef>
          </c:tx>
          <c:spPr>
            <a:solidFill>
              <a:schemeClr val="accent1"/>
            </a:solidFill>
            <a:ln>
              <a:noFill/>
            </a:ln>
            <a:effectLst/>
          </c:spPr>
          <c:invertIfNegative val="0"/>
          <c:cat>
            <c:strRef>
              <c:f>'Dashboard data'!$Q$3:$Q$8</c:f>
              <c:strCache>
                <c:ptCount val="5"/>
                <c:pt idx="0">
                  <c:v>Central</c:v>
                </c:pt>
                <c:pt idx="1">
                  <c:v>East</c:v>
                </c:pt>
                <c:pt idx="2">
                  <c:v>North</c:v>
                </c:pt>
                <c:pt idx="3">
                  <c:v>South</c:v>
                </c:pt>
                <c:pt idx="4">
                  <c:v>West</c:v>
                </c:pt>
              </c:strCache>
            </c:strRef>
          </c:cat>
          <c:val>
            <c:numRef>
              <c:f>'Dashboard data'!$R$3:$R$8</c:f>
              <c:numCache>
                <c:formatCode>0</c:formatCode>
                <c:ptCount val="5"/>
                <c:pt idx="0">
                  <c:v>84</c:v>
                </c:pt>
                <c:pt idx="1">
                  <c:v>394</c:v>
                </c:pt>
                <c:pt idx="2">
                  <c:v>464</c:v>
                </c:pt>
                <c:pt idx="3">
                  <c:v>423</c:v>
                </c:pt>
                <c:pt idx="4">
                  <c:v>350</c:v>
                </c:pt>
              </c:numCache>
            </c:numRef>
          </c:val>
          <c:extLst>
            <c:ext xmlns:c16="http://schemas.microsoft.com/office/drawing/2014/chart" uri="{C3380CC4-5D6E-409C-BE32-E72D297353CC}">
              <c16:uniqueId val="{00000000-08FE-4948-AF41-12DB1D117FAC}"/>
            </c:ext>
          </c:extLst>
        </c:ser>
        <c:ser>
          <c:idx val="1"/>
          <c:order val="1"/>
          <c:tx>
            <c:strRef>
              <c:f>'Dashboard data'!$S$1:$S$2</c:f>
              <c:strCache>
                <c:ptCount val="1"/>
                <c:pt idx="0">
                  <c:v>Electronics</c:v>
                </c:pt>
              </c:strCache>
            </c:strRef>
          </c:tx>
          <c:spPr>
            <a:solidFill>
              <a:schemeClr val="accent2"/>
            </a:solidFill>
            <a:ln>
              <a:noFill/>
            </a:ln>
            <a:effectLst/>
          </c:spPr>
          <c:invertIfNegative val="0"/>
          <c:cat>
            <c:strRef>
              <c:f>'Dashboard data'!$Q$3:$Q$8</c:f>
              <c:strCache>
                <c:ptCount val="5"/>
                <c:pt idx="0">
                  <c:v>Central</c:v>
                </c:pt>
                <c:pt idx="1">
                  <c:v>East</c:v>
                </c:pt>
                <c:pt idx="2">
                  <c:v>North</c:v>
                </c:pt>
                <c:pt idx="3">
                  <c:v>South</c:v>
                </c:pt>
                <c:pt idx="4">
                  <c:v>West</c:v>
                </c:pt>
              </c:strCache>
            </c:strRef>
          </c:cat>
          <c:val>
            <c:numRef>
              <c:f>'Dashboard data'!$S$3:$S$8</c:f>
              <c:numCache>
                <c:formatCode>0</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01-08FE-4948-AF41-12DB1D117FAC}"/>
            </c:ext>
          </c:extLst>
        </c:ser>
        <c:ser>
          <c:idx val="2"/>
          <c:order val="2"/>
          <c:tx>
            <c:strRef>
              <c:f>'Dashboard data'!$T$1:$T$2</c:f>
              <c:strCache>
                <c:ptCount val="1"/>
                <c:pt idx="0">
                  <c:v>Fashion</c:v>
                </c:pt>
              </c:strCache>
            </c:strRef>
          </c:tx>
          <c:spPr>
            <a:solidFill>
              <a:schemeClr val="accent3"/>
            </a:solidFill>
            <a:ln>
              <a:noFill/>
            </a:ln>
            <a:effectLst/>
          </c:spPr>
          <c:invertIfNegative val="0"/>
          <c:cat>
            <c:strRef>
              <c:f>'Dashboard data'!$Q$3:$Q$8</c:f>
              <c:strCache>
                <c:ptCount val="5"/>
                <c:pt idx="0">
                  <c:v>Central</c:v>
                </c:pt>
                <c:pt idx="1">
                  <c:v>East</c:v>
                </c:pt>
                <c:pt idx="2">
                  <c:v>North</c:v>
                </c:pt>
                <c:pt idx="3">
                  <c:v>South</c:v>
                </c:pt>
                <c:pt idx="4">
                  <c:v>West</c:v>
                </c:pt>
              </c:strCache>
            </c:strRef>
          </c:cat>
          <c:val>
            <c:numRef>
              <c:f>'Dashboard data'!$T$3:$T$8</c:f>
              <c:numCache>
                <c:formatCode>0</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02-08FE-4948-AF41-12DB1D117FAC}"/>
            </c:ext>
          </c:extLst>
        </c:ser>
        <c:ser>
          <c:idx val="3"/>
          <c:order val="3"/>
          <c:tx>
            <c:strRef>
              <c:f>'Dashboard data'!$U$1:$U$2</c:f>
              <c:strCache>
                <c:ptCount val="1"/>
                <c:pt idx="0">
                  <c:v>Home</c:v>
                </c:pt>
              </c:strCache>
            </c:strRef>
          </c:tx>
          <c:spPr>
            <a:solidFill>
              <a:schemeClr val="accent4"/>
            </a:solidFill>
            <a:ln>
              <a:noFill/>
            </a:ln>
            <a:effectLst/>
          </c:spPr>
          <c:invertIfNegative val="0"/>
          <c:cat>
            <c:strRef>
              <c:f>'Dashboard data'!$Q$3:$Q$8</c:f>
              <c:strCache>
                <c:ptCount val="5"/>
                <c:pt idx="0">
                  <c:v>Central</c:v>
                </c:pt>
                <c:pt idx="1">
                  <c:v>East</c:v>
                </c:pt>
                <c:pt idx="2">
                  <c:v>North</c:v>
                </c:pt>
                <c:pt idx="3">
                  <c:v>South</c:v>
                </c:pt>
                <c:pt idx="4">
                  <c:v>West</c:v>
                </c:pt>
              </c:strCache>
            </c:strRef>
          </c:cat>
          <c:val>
            <c:numRef>
              <c:f>'Dashboard data'!$U$3:$U$8</c:f>
              <c:numCache>
                <c:formatCode>0</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03-08FE-4948-AF41-12DB1D117FAC}"/>
            </c:ext>
          </c:extLst>
        </c:ser>
        <c:ser>
          <c:idx val="4"/>
          <c:order val="4"/>
          <c:tx>
            <c:strRef>
              <c:f>'Dashboard data'!$V$1:$V$2</c:f>
              <c:strCache>
                <c:ptCount val="1"/>
                <c:pt idx="0">
                  <c:v>Toys</c:v>
                </c:pt>
              </c:strCache>
            </c:strRef>
          </c:tx>
          <c:spPr>
            <a:solidFill>
              <a:schemeClr val="accent5"/>
            </a:solidFill>
            <a:ln>
              <a:noFill/>
            </a:ln>
            <a:effectLst/>
          </c:spPr>
          <c:invertIfNegative val="0"/>
          <c:cat>
            <c:strRef>
              <c:f>'Dashboard data'!$Q$3:$Q$8</c:f>
              <c:strCache>
                <c:ptCount val="5"/>
                <c:pt idx="0">
                  <c:v>Central</c:v>
                </c:pt>
                <c:pt idx="1">
                  <c:v>East</c:v>
                </c:pt>
                <c:pt idx="2">
                  <c:v>North</c:v>
                </c:pt>
                <c:pt idx="3">
                  <c:v>South</c:v>
                </c:pt>
                <c:pt idx="4">
                  <c:v>West</c:v>
                </c:pt>
              </c:strCache>
            </c:strRef>
          </c:cat>
          <c:val>
            <c:numRef>
              <c:f>'Dashboard data'!$V$3:$V$8</c:f>
              <c:numCache>
                <c:formatCode>0</c:formatCode>
                <c:ptCount val="5"/>
                <c:pt idx="0">
                  <c:v>437</c:v>
                </c:pt>
                <c:pt idx="1">
                  <c:v>1424</c:v>
                </c:pt>
                <c:pt idx="2">
                  <c:v>586</c:v>
                </c:pt>
                <c:pt idx="3">
                  <c:v>43</c:v>
                </c:pt>
                <c:pt idx="4">
                  <c:v>1021</c:v>
                </c:pt>
              </c:numCache>
            </c:numRef>
          </c:val>
          <c:extLst>
            <c:ext xmlns:c16="http://schemas.microsoft.com/office/drawing/2014/chart" uri="{C3380CC4-5D6E-409C-BE32-E72D297353CC}">
              <c16:uniqueId val="{00000004-08FE-4948-AF41-12DB1D117FAC}"/>
            </c:ext>
          </c:extLst>
        </c:ser>
        <c:dLbls>
          <c:showLegendKey val="0"/>
          <c:showVal val="0"/>
          <c:showCatName val="0"/>
          <c:showSerName val="0"/>
          <c:showPercent val="0"/>
          <c:showBubbleSize val="0"/>
        </c:dLbls>
        <c:gapWidth val="219"/>
        <c:overlap val="-27"/>
        <c:axId val="806428719"/>
        <c:axId val="806429199"/>
      </c:barChart>
      <c:catAx>
        <c:axId val="8064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429199"/>
        <c:crosses val="autoZero"/>
        <c:auto val="1"/>
        <c:lblAlgn val="ctr"/>
        <c:lblOffset val="100"/>
        <c:noMultiLvlLbl val="0"/>
      </c:catAx>
      <c:valAx>
        <c:axId val="806429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42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[3Week.xlsx]Dashboard data!PivotTable25</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  Count of Orders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data'!$AA$1:$AA$2</c:f>
              <c:strCache>
                <c:ptCount val="1"/>
                <c:pt idx="0">
                  <c:v>Books</c:v>
                </c:pt>
              </c:strCache>
            </c:strRef>
          </c:tx>
          <c:spPr>
            <a:solidFill>
              <a:schemeClr val="accent1"/>
            </a:solidFill>
            <a:ln>
              <a:noFill/>
            </a:ln>
            <a:effectLst/>
          </c:spPr>
          <c:invertIfNegative val="0"/>
          <c:cat>
            <c:strRef>
              <c:f>'Dashboard data'!$Z$3:$Z$6</c:f>
              <c:strCache>
                <c:ptCount val="3"/>
                <c:pt idx="0">
                  <c:v>Cancelled</c:v>
                </c:pt>
                <c:pt idx="1">
                  <c:v>Delivered</c:v>
                </c:pt>
                <c:pt idx="2">
                  <c:v>In Transit</c:v>
                </c:pt>
              </c:strCache>
            </c:strRef>
          </c:cat>
          <c:val>
            <c:numRef>
              <c:f>'Dashboard data'!$AA$3:$AA$6</c:f>
              <c:numCache>
                <c:formatCode>0</c:formatCode>
                <c:ptCount val="3"/>
                <c:pt idx="0">
                  <c:v>317</c:v>
                </c:pt>
                <c:pt idx="1">
                  <c:v>127</c:v>
                </c:pt>
                <c:pt idx="2">
                  <c:v>1271</c:v>
                </c:pt>
              </c:numCache>
            </c:numRef>
          </c:val>
          <c:extLst>
            <c:ext xmlns:c16="http://schemas.microsoft.com/office/drawing/2014/chart" uri="{C3380CC4-5D6E-409C-BE32-E72D297353CC}">
              <c16:uniqueId val="{00000000-6267-4F28-9D92-EAE9BDF7D05B}"/>
            </c:ext>
          </c:extLst>
        </c:ser>
        <c:ser>
          <c:idx val="1"/>
          <c:order val="1"/>
          <c:tx>
            <c:strRef>
              <c:f>'Dashboard data'!$AB$1:$AB$2</c:f>
              <c:strCache>
                <c:ptCount val="1"/>
                <c:pt idx="0">
                  <c:v>Electronics</c:v>
                </c:pt>
              </c:strCache>
            </c:strRef>
          </c:tx>
          <c:spPr>
            <a:solidFill>
              <a:schemeClr val="accent2"/>
            </a:solidFill>
            <a:ln>
              <a:noFill/>
            </a:ln>
            <a:effectLst/>
          </c:spPr>
          <c:invertIfNegative val="0"/>
          <c:cat>
            <c:strRef>
              <c:f>'Dashboard data'!$Z$3:$Z$6</c:f>
              <c:strCache>
                <c:ptCount val="3"/>
                <c:pt idx="0">
                  <c:v>Cancelled</c:v>
                </c:pt>
                <c:pt idx="1">
                  <c:v>Delivered</c:v>
                </c:pt>
                <c:pt idx="2">
                  <c:v>In Transit</c:v>
                </c:pt>
              </c:strCache>
            </c:strRef>
          </c:cat>
          <c:val>
            <c:numRef>
              <c:f>'Dashboard data'!$AB$3:$AB$6</c:f>
              <c:numCache>
                <c:formatCode>0</c:formatCode>
                <c:ptCount val="3"/>
                <c:pt idx="0">
                  <c:v>2174</c:v>
                </c:pt>
                <c:pt idx="1">
                  <c:v>6126</c:v>
                </c:pt>
                <c:pt idx="2">
                  <c:v>6909</c:v>
                </c:pt>
              </c:numCache>
            </c:numRef>
          </c:val>
          <c:extLst>
            <c:ext xmlns:c16="http://schemas.microsoft.com/office/drawing/2014/chart" uri="{C3380CC4-5D6E-409C-BE32-E72D297353CC}">
              <c16:uniqueId val="{00000001-6267-4F28-9D92-EAE9BDF7D05B}"/>
            </c:ext>
          </c:extLst>
        </c:ser>
        <c:ser>
          <c:idx val="2"/>
          <c:order val="2"/>
          <c:tx>
            <c:strRef>
              <c:f>'Dashboard data'!$AC$1:$AC$2</c:f>
              <c:strCache>
                <c:ptCount val="1"/>
                <c:pt idx="0">
                  <c:v>Fashion</c:v>
                </c:pt>
              </c:strCache>
            </c:strRef>
          </c:tx>
          <c:spPr>
            <a:solidFill>
              <a:schemeClr val="accent3"/>
            </a:solidFill>
            <a:ln>
              <a:noFill/>
            </a:ln>
            <a:effectLst/>
          </c:spPr>
          <c:invertIfNegative val="0"/>
          <c:cat>
            <c:strRef>
              <c:f>'Dashboard data'!$Z$3:$Z$6</c:f>
              <c:strCache>
                <c:ptCount val="3"/>
                <c:pt idx="0">
                  <c:v>Cancelled</c:v>
                </c:pt>
                <c:pt idx="1">
                  <c:v>Delivered</c:v>
                </c:pt>
                <c:pt idx="2">
                  <c:v>In Transit</c:v>
                </c:pt>
              </c:strCache>
            </c:strRef>
          </c:cat>
          <c:val>
            <c:numRef>
              <c:f>'Dashboard data'!$AC$3:$AC$6</c:f>
              <c:numCache>
                <c:formatCode>0</c:formatCode>
                <c:ptCount val="3"/>
                <c:pt idx="0">
                  <c:v>1447</c:v>
                </c:pt>
                <c:pt idx="1">
                  <c:v>1376</c:v>
                </c:pt>
                <c:pt idx="2">
                  <c:v>1049</c:v>
                </c:pt>
              </c:numCache>
            </c:numRef>
          </c:val>
          <c:extLst>
            <c:ext xmlns:c16="http://schemas.microsoft.com/office/drawing/2014/chart" uri="{C3380CC4-5D6E-409C-BE32-E72D297353CC}">
              <c16:uniqueId val="{00000002-6267-4F28-9D92-EAE9BDF7D05B}"/>
            </c:ext>
          </c:extLst>
        </c:ser>
        <c:ser>
          <c:idx val="3"/>
          <c:order val="3"/>
          <c:tx>
            <c:strRef>
              <c:f>'Dashboard data'!$AD$1:$AD$2</c:f>
              <c:strCache>
                <c:ptCount val="1"/>
                <c:pt idx="0">
                  <c:v>Home</c:v>
                </c:pt>
              </c:strCache>
            </c:strRef>
          </c:tx>
          <c:spPr>
            <a:solidFill>
              <a:schemeClr val="accent4"/>
            </a:solidFill>
            <a:ln>
              <a:noFill/>
            </a:ln>
            <a:effectLst/>
          </c:spPr>
          <c:invertIfNegative val="0"/>
          <c:cat>
            <c:strRef>
              <c:f>'Dashboard data'!$Z$3:$Z$6</c:f>
              <c:strCache>
                <c:ptCount val="3"/>
                <c:pt idx="0">
                  <c:v>Cancelled</c:v>
                </c:pt>
                <c:pt idx="1">
                  <c:v>Delivered</c:v>
                </c:pt>
                <c:pt idx="2">
                  <c:v>In Transit</c:v>
                </c:pt>
              </c:strCache>
            </c:strRef>
          </c:cat>
          <c:val>
            <c:numRef>
              <c:f>'Dashboard data'!$AD$3:$AD$6</c:f>
              <c:numCache>
                <c:formatCode>0</c:formatCode>
                <c:ptCount val="3"/>
                <c:pt idx="0">
                  <c:v>2501</c:v>
                </c:pt>
                <c:pt idx="1">
                  <c:v>4203</c:v>
                </c:pt>
                <c:pt idx="2">
                  <c:v>4247</c:v>
                </c:pt>
              </c:numCache>
            </c:numRef>
          </c:val>
          <c:extLst>
            <c:ext xmlns:c16="http://schemas.microsoft.com/office/drawing/2014/chart" uri="{C3380CC4-5D6E-409C-BE32-E72D297353CC}">
              <c16:uniqueId val="{00000003-6267-4F28-9D92-EAE9BDF7D05B}"/>
            </c:ext>
          </c:extLst>
        </c:ser>
        <c:ser>
          <c:idx val="4"/>
          <c:order val="4"/>
          <c:tx>
            <c:strRef>
              <c:f>'Dashboard data'!$AE$1:$AE$2</c:f>
              <c:strCache>
                <c:ptCount val="1"/>
                <c:pt idx="0">
                  <c:v>Toys</c:v>
                </c:pt>
              </c:strCache>
            </c:strRef>
          </c:tx>
          <c:spPr>
            <a:solidFill>
              <a:schemeClr val="accent5"/>
            </a:solidFill>
            <a:ln>
              <a:noFill/>
            </a:ln>
            <a:effectLst/>
          </c:spPr>
          <c:invertIfNegative val="0"/>
          <c:cat>
            <c:strRef>
              <c:f>'Dashboard data'!$Z$3:$Z$6</c:f>
              <c:strCache>
                <c:ptCount val="3"/>
                <c:pt idx="0">
                  <c:v>Cancelled</c:v>
                </c:pt>
                <c:pt idx="1">
                  <c:v>Delivered</c:v>
                </c:pt>
                <c:pt idx="2">
                  <c:v>In Transit</c:v>
                </c:pt>
              </c:strCache>
            </c:strRef>
          </c:cat>
          <c:val>
            <c:numRef>
              <c:f>'Dashboard data'!$AE$3:$AE$6</c:f>
              <c:numCache>
                <c:formatCode>0</c:formatCode>
                <c:ptCount val="3"/>
                <c:pt idx="0">
                  <c:v>522</c:v>
                </c:pt>
                <c:pt idx="1">
                  <c:v>1824</c:v>
                </c:pt>
                <c:pt idx="2">
                  <c:v>1165</c:v>
                </c:pt>
              </c:numCache>
            </c:numRef>
          </c:val>
          <c:extLst>
            <c:ext xmlns:c16="http://schemas.microsoft.com/office/drawing/2014/chart" uri="{C3380CC4-5D6E-409C-BE32-E72D297353CC}">
              <c16:uniqueId val="{00000004-6267-4F28-9D92-EAE9BDF7D05B}"/>
            </c:ext>
          </c:extLst>
        </c:ser>
        <c:dLbls>
          <c:showLegendKey val="0"/>
          <c:showVal val="0"/>
          <c:showCatName val="0"/>
          <c:showSerName val="0"/>
          <c:showPercent val="0"/>
          <c:showBubbleSize val="0"/>
        </c:dLbls>
        <c:gapWidth val="182"/>
        <c:axId val="1972262895"/>
        <c:axId val="1972263375"/>
      </c:barChart>
      <c:catAx>
        <c:axId val="197226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2263375"/>
        <c:crosses val="autoZero"/>
        <c:auto val="1"/>
        <c:lblAlgn val="ctr"/>
        <c:lblOffset val="100"/>
        <c:noMultiLvlLbl val="0"/>
      </c:catAx>
      <c:valAx>
        <c:axId val="19722633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226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[3Week.xlsx]Dashboard data!PivotTable26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Payment Method and Product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data'!$AJ$1:$AJ$2</c:f>
              <c:strCache>
                <c:ptCount val="1"/>
                <c:pt idx="0">
                  <c:v>Amazon Pay</c:v>
                </c:pt>
              </c:strCache>
            </c:strRef>
          </c:tx>
          <c:spPr>
            <a:ln w="28575" cap="rnd">
              <a:solidFill>
                <a:schemeClr val="accent1"/>
              </a:solidFill>
              <a:round/>
            </a:ln>
            <a:effectLst/>
          </c:spPr>
          <c:marker>
            <c:symbol val="none"/>
          </c:marker>
          <c:cat>
            <c:strRef>
              <c:f>'Dashboard data'!$AI$3:$AI$8</c:f>
              <c:strCache>
                <c:ptCount val="5"/>
                <c:pt idx="0">
                  <c:v>Books</c:v>
                </c:pt>
                <c:pt idx="1">
                  <c:v>Electronics</c:v>
                </c:pt>
                <c:pt idx="2">
                  <c:v>Fashion</c:v>
                </c:pt>
                <c:pt idx="3">
                  <c:v>Home</c:v>
                </c:pt>
                <c:pt idx="4">
                  <c:v>Toys</c:v>
                </c:pt>
              </c:strCache>
            </c:strRef>
          </c:cat>
          <c:val>
            <c:numRef>
              <c:f>'Dashboard data'!$AJ$3:$AJ$8</c:f>
              <c:numCache>
                <c:formatCode>0</c:formatCode>
                <c:ptCount val="5"/>
                <c:pt idx="0">
                  <c:v>548</c:v>
                </c:pt>
                <c:pt idx="1">
                  <c:v>990</c:v>
                </c:pt>
                <c:pt idx="2">
                  <c:v>1064</c:v>
                </c:pt>
                <c:pt idx="3">
                  <c:v>1367</c:v>
                </c:pt>
                <c:pt idx="4">
                  <c:v>750</c:v>
                </c:pt>
              </c:numCache>
            </c:numRef>
          </c:val>
          <c:smooth val="0"/>
          <c:extLst>
            <c:ext xmlns:c16="http://schemas.microsoft.com/office/drawing/2014/chart" uri="{C3380CC4-5D6E-409C-BE32-E72D297353CC}">
              <c16:uniqueId val="{00000000-1CD5-4FC4-903D-241BA36B40B6}"/>
            </c:ext>
          </c:extLst>
        </c:ser>
        <c:ser>
          <c:idx val="1"/>
          <c:order val="1"/>
          <c:tx>
            <c:strRef>
              <c:f>'Dashboard data'!$AK$1:$AK$2</c:f>
              <c:strCache>
                <c:ptCount val="1"/>
                <c:pt idx="0">
                  <c:v>Apple Pay</c:v>
                </c:pt>
              </c:strCache>
            </c:strRef>
          </c:tx>
          <c:spPr>
            <a:ln w="28575" cap="rnd">
              <a:solidFill>
                <a:schemeClr val="accent2"/>
              </a:solidFill>
              <a:round/>
            </a:ln>
            <a:effectLst/>
          </c:spPr>
          <c:marker>
            <c:symbol val="none"/>
          </c:marker>
          <c:cat>
            <c:strRef>
              <c:f>'Dashboard data'!$AI$3:$AI$8</c:f>
              <c:strCache>
                <c:ptCount val="5"/>
                <c:pt idx="0">
                  <c:v>Books</c:v>
                </c:pt>
                <c:pt idx="1">
                  <c:v>Electronics</c:v>
                </c:pt>
                <c:pt idx="2">
                  <c:v>Fashion</c:v>
                </c:pt>
                <c:pt idx="3">
                  <c:v>Home</c:v>
                </c:pt>
                <c:pt idx="4">
                  <c:v>Toys</c:v>
                </c:pt>
              </c:strCache>
            </c:strRef>
          </c:cat>
          <c:val>
            <c:numRef>
              <c:f>'Dashboard data'!$AK$3:$AK$8</c:f>
              <c:numCache>
                <c:formatCode>0</c:formatCode>
                <c:ptCount val="5"/>
                <c:pt idx="1">
                  <c:v>3398</c:v>
                </c:pt>
                <c:pt idx="2">
                  <c:v>686</c:v>
                </c:pt>
                <c:pt idx="3">
                  <c:v>1661</c:v>
                </c:pt>
                <c:pt idx="4">
                  <c:v>399</c:v>
                </c:pt>
              </c:numCache>
            </c:numRef>
          </c:val>
          <c:smooth val="0"/>
          <c:extLst>
            <c:ext xmlns:c16="http://schemas.microsoft.com/office/drawing/2014/chart" uri="{C3380CC4-5D6E-409C-BE32-E72D297353CC}">
              <c16:uniqueId val="{0000000A-CFDB-4484-9762-D6294BF5E341}"/>
            </c:ext>
          </c:extLst>
        </c:ser>
        <c:ser>
          <c:idx val="2"/>
          <c:order val="2"/>
          <c:tx>
            <c:strRef>
              <c:f>'Dashboard data'!$AL$1:$AL$2</c:f>
              <c:strCache>
                <c:ptCount val="1"/>
                <c:pt idx="0">
                  <c:v>Credit Card</c:v>
                </c:pt>
              </c:strCache>
            </c:strRef>
          </c:tx>
          <c:spPr>
            <a:ln w="28575" cap="rnd">
              <a:solidFill>
                <a:schemeClr val="accent3"/>
              </a:solidFill>
              <a:round/>
            </a:ln>
            <a:effectLst/>
          </c:spPr>
          <c:marker>
            <c:symbol val="none"/>
          </c:marker>
          <c:cat>
            <c:strRef>
              <c:f>'Dashboard data'!$AI$3:$AI$8</c:f>
              <c:strCache>
                <c:ptCount val="5"/>
                <c:pt idx="0">
                  <c:v>Books</c:v>
                </c:pt>
                <c:pt idx="1">
                  <c:v>Electronics</c:v>
                </c:pt>
                <c:pt idx="2">
                  <c:v>Fashion</c:v>
                </c:pt>
                <c:pt idx="3">
                  <c:v>Home</c:v>
                </c:pt>
                <c:pt idx="4">
                  <c:v>Toys</c:v>
                </c:pt>
              </c:strCache>
            </c:strRef>
          </c:cat>
          <c:val>
            <c:numRef>
              <c:f>'Dashboard data'!$AL$3:$AL$8</c:f>
              <c:numCache>
                <c:formatCode>0</c:formatCode>
                <c:ptCount val="5"/>
                <c:pt idx="0">
                  <c:v>118</c:v>
                </c:pt>
                <c:pt idx="1">
                  <c:v>5490</c:v>
                </c:pt>
                <c:pt idx="2">
                  <c:v>884</c:v>
                </c:pt>
                <c:pt idx="3">
                  <c:v>1439</c:v>
                </c:pt>
                <c:pt idx="4">
                  <c:v>1467</c:v>
                </c:pt>
              </c:numCache>
            </c:numRef>
          </c:val>
          <c:smooth val="0"/>
          <c:extLst>
            <c:ext xmlns:c16="http://schemas.microsoft.com/office/drawing/2014/chart" uri="{C3380CC4-5D6E-409C-BE32-E72D297353CC}">
              <c16:uniqueId val="{0000000B-CFDB-4484-9762-D6294BF5E341}"/>
            </c:ext>
          </c:extLst>
        </c:ser>
        <c:ser>
          <c:idx val="3"/>
          <c:order val="3"/>
          <c:tx>
            <c:strRef>
              <c:f>'Dashboard data'!$AM$1:$AM$2</c:f>
              <c:strCache>
                <c:ptCount val="1"/>
                <c:pt idx="0">
                  <c:v>Debit Card</c:v>
                </c:pt>
              </c:strCache>
            </c:strRef>
          </c:tx>
          <c:spPr>
            <a:ln w="28575" cap="rnd">
              <a:solidFill>
                <a:schemeClr val="accent4"/>
              </a:solidFill>
              <a:round/>
            </a:ln>
            <a:effectLst/>
          </c:spPr>
          <c:marker>
            <c:symbol val="none"/>
          </c:marker>
          <c:cat>
            <c:strRef>
              <c:f>'Dashboard data'!$AI$3:$AI$8</c:f>
              <c:strCache>
                <c:ptCount val="5"/>
                <c:pt idx="0">
                  <c:v>Books</c:v>
                </c:pt>
                <c:pt idx="1">
                  <c:v>Electronics</c:v>
                </c:pt>
                <c:pt idx="2">
                  <c:v>Fashion</c:v>
                </c:pt>
                <c:pt idx="3">
                  <c:v>Home</c:v>
                </c:pt>
                <c:pt idx="4">
                  <c:v>Toys</c:v>
                </c:pt>
              </c:strCache>
            </c:strRef>
          </c:cat>
          <c:val>
            <c:numRef>
              <c:f>'Dashboard data'!$AM$3:$AM$8</c:f>
              <c:numCache>
                <c:formatCode>0</c:formatCode>
                <c:ptCount val="5"/>
                <c:pt idx="0">
                  <c:v>408</c:v>
                </c:pt>
                <c:pt idx="1">
                  <c:v>3467</c:v>
                </c:pt>
                <c:pt idx="2">
                  <c:v>751</c:v>
                </c:pt>
                <c:pt idx="3">
                  <c:v>2827</c:v>
                </c:pt>
                <c:pt idx="4">
                  <c:v>895</c:v>
                </c:pt>
              </c:numCache>
            </c:numRef>
          </c:val>
          <c:smooth val="0"/>
          <c:extLst>
            <c:ext xmlns:c16="http://schemas.microsoft.com/office/drawing/2014/chart" uri="{C3380CC4-5D6E-409C-BE32-E72D297353CC}">
              <c16:uniqueId val="{0000000C-CFDB-4484-9762-D6294BF5E341}"/>
            </c:ext>
          </c:extLst>
        </c:ser>
        <c:ser>
          <c:idx val="4"/>
          <c:order val="4"/>
          <c:tx>
            <c:strRef>
              <c:f>'Dashboard data'!$AN$1:$AN$2</c:f>
              <c:strCache>
                <c:ptCount val="1"/>
                <c:pt idx="0">
                  <c:v>PayPal</c:v>
                </c:pt>
              </c:strCache>
            </c:strRef>
          </c:tx>
          <c:spPr>
            <a:ln w="28575" cap="rnd">
              <a:solidFill>
                <a:schemeClr val="accent5"/>
              </a:solidFill>
              <a:round/>
            </a:ln>
            <a:effectLst/>
          </c:spPr>
          <c:marker>
            <c:symbol val="none"/>
          </c:marker>
          <c:cat>
            <c:strRef>
              <c:f>'Dashboard data'!$AI$3:$AI$8</c:f>
              <c:strCache>
                <c:ptCount val="5"/>
                <c:pt idx="0">
                  <c:v>Books</c:v>
                </c:pt>
                <c:pt idx="1">
                  <c:v>Electronics</c:v>
                </c:pt>
                <c:pt idx="2">
                  <c:v>Fashion</c:v>
                </c:pt>
                <c:pt idx="3">
                  <c:v>Home</c:v>
                </c:pt>
                <c:pt idx="4">
                  <c:v>Toys</c:v>
                </c:pt>
              </c:strCache>
            </c:strRef>
          </c:cat>
          <c:val>
            <c:numRef>
              <c:f>'Dashboard data'!$AN$3:$AN$8</c:f>
              <c:numCache>
                <c:formatCode>0</c:formatCode>
                <c:ptCount val="5"/>
                <c:pt idx="0">
                  <c:v>641</c:v>
                </c:pt>
                <c:pt idx="1">
                  <c:v>1864</c:v>
                </c:pt>
                <c:pt idx="2">
                  <c:v>487</c:v>
                </c:pt>
                <c:pt idx="3">
                  <c:v>3657</c:v>
                </c:pt>
              </c:numCache>
            </c:numRef>
          </c:val>
          <c:smooth val="0"/>
          <c:extLst>
            <c:ext xmlns:c16="http://schemas.microsoft.com/office/drawing/2014/chart" uri="{C3380CC4-5D6E-409C-BE32-E72D297353CC}">
              <c16:uniqueId val="{0000000E-CFDB-4484-9762-D6294BF5E341}"/>
            </c:ext>
          </c:extLst>
        </c:ser>
        <c:dLbls>
          <c:showLegendKey val="0"/>
          <c:showVal val="0"/>
          <c:showCatName val="0"/>
          <c:showSerName val="0"/>
          <c:showPercent val="0"/>
          <c:showBubbleSize val="0"/>
        </c:dLbls>
        <c:smooth val="0"/>
        <c:axId val="1810812783"/>
        <c:axId val="1810813743"/>
      </c:lineChart>
      <c:catAx>
        <c:axId val="181081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0813743"/>
        <c:crosses val="autoZero"/>
        <c:auto val="1"/>
        <c:lblAlgn val="ctr"/>
        <c:lblOffset val="100"/>
        <c:noMultiLvlLbl val="0"/>
      </c:catAx>
      <c:valAx>
        <c:axId val="1810813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081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[3Week.xlsx]Dashboard data!PivotTable27</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data'!$AR$1</c:f>
              <c:strCache>
                <c:ptCount val="1"/>
                <c:pt idx="0">
                  <c:v>Total</c:v>
                </c:pt>
              </c:strCache>
            </c:strRef>
          </c:tx>
          <c:spPr>
            <a:solidFill>
              <a:schemeClr val="accent1"/>
            </a:solidFill>
            <a:ln>
              <a:noFill/>
            </a:ln>
            <a:effectLst/>
          </c:spPr>
          <c:cat>
            <c:strRef>
              <c:f>'Dashboard data'!$AQ$2:$AQ$14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data'!$AR$2:$AR$14</c:f>
              <c:numCache>
                <c:formatCode>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1BC4-4F33-B845-D45AEFFD8020}"/>
            </c:ext>
          </c:extLst>
        </c:ser>
        <c:dLbls>
          <c:showLegendKey val="0"/>
          <c:showVal val="0"/>
          <c:showCatName val="0"/>
          <c:showSerName val="0"/>
          <c:showPercent val="0"/>
          <c:showBubbleSize val="0"/>
        </c:dLbls>
        <c:axId val="1810815183"/>
        <c:axId val="1810807983"/>
      </c:areaChart>
      <c:catAx>
        <c:axId val="1810815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0807983"/>
        <c:crosses val="autoZero"/>
        <c:auto val="1"/>
        <c:lblAlgn val="ctr"/>
        <c:lblOffset val="100"/>
        <c:noMultiLvlLbl val="0"/>
      </c:catAx>
      <c:valAx>
        <c:axId val="1810807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0815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[3Week.xlsx]Dashboard data!PivotTable28</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10 Seling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5"/>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1">
              <a:lumMod val="60000"/>
            </a:schemeClr>
          </a:solidFill>
          <a:ln w="19050">
            <a:solidFill>
              <a:schemeClr val="lt1"/>
            </a:solidFill>
          </a:ln>
          <a:effectLst/>
        </c:spPr>
      </c:pivotFmt>
      <c:pivotFmt>
        <c:idx val="30"/>
        <c:spPr>
          <a:solidFill>
            <a:schemeClr val="accent2">
              <a:lumMod val="60000"/>
            </a:schemeClr>
          </a:solidFill>
          <a:ln w="19050">
            <a:solidFill>
              <a:schemeClr val="lt1"/>
            </a:solidFill>
          </a:ln>
          <a:effectLst/>
        </c:spPr>
      </c:pivotFmt>
      <c:pivotFmt>
        <c:idx val="31"/>
        <c:spPr>
          <a:solidFill>
            <a:schemeClr val="accent3">
              <a:lumMod val="60000"/>
            </a:schemeClr>
          </a:solidFill>
          <a:ln w="19050">
            <a:solidFill>
              <a:schemeClr val="lt1"/>
            </a:solidFill>
          </a:ln>
          <a:effectLst/>
        </c:spPr>
      </c:pivotFmt>
      <c:pivotFmt>
        <c:idx val="32"/>
        <c:spPr>
          <a:solidFill>
            <a:schemeClr val="accent4">
              <a:lumMod val="60000"/>
            </a:schemeClr>
          </a:solidFill>
          <a:ln w="19050">
            <a:solidFill>
              <a:schemeClr val="lt1"/>
            </a:solidFill>
          </a:ln>
          <a:effectLst/>
        </c:spPr>
      </c:pivotFmt>
    </c:pivotFmts>
    <c:plotArea>
      <c:layout/>
      <c:pieChart>
        <c:varyColors val="1"/>
        <c:ser>
          <c:idx val="0"/>
          <c:order val="0"/>
          <c:tx>
            <c:strRef>
              <c:f>'Dashboard data'!$AU$1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18-4685-9981-55541EFEE7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18-4685-9981-55541EFEE7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18-4685-9981-55541EFEE7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18-4685-9981-55541EFEE7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18-4685-9981-55541EFEE7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18-4685-9981-55541EFEE7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18-4685-9981-55541EFEE7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18-4685-9981-55541EFEE7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18-4685-9981-55541EFEE76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18-4685-9981-55541EFEE761}"/>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data'!$AT$2:$AT$12</c:f>
              <c:strCache>
                <c:ptCount val="10"/>
                <c:pt idx="0">
                  <c:v>PROD001</c:v>
                </c:pt>
                <c:pt idx="1">
                  <c:v>PROD003</c:v>
                </c:pt>
                <c:pt idx="2">
                  <c:v>PROD006</c:v>
                </c:pt>
                <c:pt idx="3">
                  <c:v>PROD008</c:v>
                </c:pt>
                <c:pt idx="4">
                  <c:v>PROD011</c:v>
                </c:pt>
                <c:pt idx="5">
                  <c:v>PROD013</c:v>
                </c:pt>
                <c:pt idx="6">
                  <c:v>PROD014</c:v>
                </c:pt>
                <c:pt idx="7">
                  <c:v>PROD016</c:v>
                </c:pt>
                <c:pt idx="8">
                  <c:v>PROD017</c:v>
                </c:pt>
                <c:pt idx="9">
                  <c:v>PROD018</c:v>
                </c:pt>
              </c:strCache>
            </c:strRef>
          </c:cat>
          <c:val>
            <c:numRef>
              <c:f>'Dashboard data'!$AU$2:$AU$12</c:f>
              <c:numCache>
                <c:formatCode>0</c:formatCode>
                <c:ptCount val="10"/>
                <c:pt idx="0">
                  <c:v>9644</c:v>
                </c:pt>
                <c:pt idx="1">
                  <c:v>2496</c:v>
                </c:pt>
                <c:pt idx="2">
                  <c:v>1239</c:v>
                </c:pt>
                <c:pt idx="3">
                  <c:v>1318</c:v>
                </c:pt>
                <c:pt idx="4">
                  <c:v>1212</c:v>
                </c:pt>
                <c:pt idx="5">
                  <c:v>2144</c:v>
                </c:pt>
                <c:pt idx="6">
                  <c:v>2230</c:v>
                </c:pt>
                <c:pt idx="7">
                  <c:v>5151</c:v>
                </c:pt>
                <c:pt idx="8">
                  <c:v>1392</c:v>
                </c:pt>
                <c:pt idx="9">
                  <c:v>1530</c:v>
                </c:pt>
              </c:numCache>
            </c:numRef>
          </c:val>
          <c:extLst>
            <c:ext xmlns:c16="http://schemas.microsoft.com/office/drawing/2014/chart" uri="{C3380CC4-5D6E-409C-BE32-E72D297353CC}">
              <c16:uniqueId val="{00000014-C318-4685-9981-55541EFEE76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20</xdr:col>
      <xdr:colOff>355600</xdr:colOff>
      <xdr:row>2</xdr:row>
      <xdr:rowOff>0</xdr:rowOff>
    </xdr:from>
    <xdr:to>
      <xdr:col>23</xdr:col>
      <xdr:colOff>469900</xdr:colOff>
      <xdr:row>13</xdr:row>
      <xdr:rowOff>165100</xdr:rowOff>
    </xdr:to>
    <xdr:graphicFrame macro="">
      <xdr:nvGraphicFramePr>
        <xdr:cNvPr id="6" name="Chart 5">
          <a:extLst>
            <a:ext uri="{FF2B5EF4-FFF2-40B4-BE49-F238E27FC236}">
              <a16:creationId xmlns:a16="http://schemas.microsoft.com/office/drawing/2014/main" id="{EE6952CF-6094-AC31-9546-55108FAF2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8139</xdr:colOff>
      <xdr:row>0</xdr:row>
      <xdr:rowOff>0</xdr:rowOff>
    </xdr:from>
    <xdr:to>
      <xdr:col>20</xdr:col>
      <xdr:colOff>56987</xdr:colOff>
      <xdr:row>29</xdr:row>
      <xdr:rowOff>73268</xdr:rowOff>
    </xdr:to>
    <xdr:sp macro="" textlink="">
      <xdr:nvSpPr>
        <xdr:cNvPr id="2" name="TextBox 3">
          <a:extLst>
            <a:ext uri="{FF2B5EF4-FFF2-40B4-BE49-F238E27FC236}">
              <a16:creationId xmlns:a16="http://schemas.microsoft.com/office/drawing/2014/main" id="{E2108AA2-F506-88F9-CDFF-ED5C4F1EFFBF}"/>
            </a:ext>
          </a:extLst>
        </xdr:cNvPr>
        <xdr:cNvSpPr txBox="1"/>
      </xdr:nvSpPr>
      <xdr:spPr>
        <a:xfrm>
          <a:off x="618716" y="0"/>
          <a:ext cx="11649809" cy="5503332"/>
        </a:xfrm>
        <a:prstGeom prst="rect">
          <a:avLst/>
        </a:prstGeom>
        <a:solidFill>
          <a:schemeClr val="tx2"/>
        </a:solidFill>
        <a:ln>
          <a:solidFill>
            <a:schemeClr val="tx2"/>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N"/>
        </a:p>
      </xdr:txBody>
    </xdr:sp>
    <xdr:clientData/>
  </xdr:twoCellAnchor>
  <xdr:twoCellAnchor>
    <xdr:from>
      <xdr:col>1</xdr:col>
      <xdr:colOff>122115</xdr:colOff>
      <xdr:row>0</xdr:row>
      <xdr:rowOff>34637</xdr:rowOff>
    </xdr:from>
    <xdr:to>
      <xdr:col>19</xdr:col>
      <xdr:colOff>529166</xdr:colOff>
      <xdr:row>2</xdr:row>
      <xdr:rowOff>140732</xdr:rowOff>
    </xdr:to>
    <xdr:sp macro="" textlink="">
      <xdr:nvSpPr>
        <xdr:cNvPr id="3" name="Rectangle: Rounded Corners 2">
          <a:extLst>
            <a:ext uri="{FF2B5EF4-FFF2-40B4-BE49-F238E27FC236}">
              <a16:creationId xmlns:a16="http://schemas.microsoft.com/office/drawing/2014/main" id="{48517A06-DC0D-779D-60C2-9FABCF44F4D9}"/>
            </a:ext>
          </a:extLst>
        </xdr:cNvPr>
        <xdr:cNvSpPr/>
      </xdr:nvSpPr>
      <xdr:spPr>
        <a:xfrm>
          <a:off x="732692" y="34637"/>
          <a:ext cx="11397436" cy="480582"/>
        </a:xfrm>
        <a:prstGeom prst="round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Excecutive</a:t>
          </a:r>
          <a:r>
            <a:rPr lang="en-IN" baseline="0"/>
            <a:t> Sales Dashboard</a:t>
          </a:r>
          <a:endParaRPr lang="en-IN"/>
        </a:p>
      </xdr:txBody>
    </xdr:sp>
    <xdr:clientData/>
  </xdr:twoCellAnchor>
  <xdr:twoCellAnchor>
    <xdr:from>
      <xdr:col>3</xdr:col>
      <xdr:colOff>154621</xdr:colOff>
      <xdr:row>3</xdr:row>
      <xdr:rowOff>52115</xdr:rowOff>
    </xdr:from>
    <xdr:to>
      <xdr:col>9</xdr:col>
      <xdr:colOff>530616</xdr:colOff>
      <xdr:row>17</xdr:row>
      <xdr:rowOff>75501</xdr:rowOff>
    </xdr:to>
    <xdr:graphicFrame macro="">
      <xdr:nvGraphicFramePr>
        <xdr:cNvPr id="16" name="Chart 15">
          <a:extLst>
            <a:ext uri="{FF2B5EF4-FFF2-40B4-BE49-F238E27FC236}">
              <a16:creationId xmlns:a16="http://schemas.microsoft.com/office/drawing/2014/main" id="{962E0EF3-44FA-442E-85E5-9DF1FA567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86985</xdr:colOff>
      <xdr:row>3</xdr:row>
      <xdr:rowOff>28958</xdr:rowOff>
    </xdr:from>
    <xdr:to>
      <xdr:col>17</xdr:col>
      <xdr:colOff>34793</xdr:colOff>
      <xdr:row>17</xdr:row>
      <xdr:rowOff>83642</xdr:rowOff>
    </xdr:to>
    <xdr:graphicFrame macro="">
      <xdr:nvGraphicFramePr>
        <xdr:cNvPr id="6" name="Chart 5">
          <a:extLst>
            <a:ext uri="{FF2B5EF4-FFF2-40B4-BE49-F238E27FC236}">
              <a16:creationId xmlns:a16="http://schemas.microsoft.com/office/drawing/2014/main" id="{32AD0CB2-072B-476E-8CC0-01EE66F65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257214</xdr:colOff>
      <xdr:row>18</xdr:row>
      <xdr:rowOff>24420</xdr:rowOff>
    </xdr:from>
    <xdr:to>
      <xdr:col>17</xdr:col>
      <xdr:colOff>78288</xdr:colOff>
      <xdr:row>28</xdr:row>
      <xdr:rowOff>88724</xdr:rowOff>
    </xdr:to>
    <xdr:graphicFrame macro="">
      <xdr:nvGraphicFramePr>
        <xdr:cNvPr id="7" name="Chart 6">
          <a:extLst>
            <a:ext uri="{FF2B5EF4-FFF2-40B4-BE49-F238E27FC236}">
              <a16:creationId xmlns:a16="http://schemas.microsoft.com/office/drawing/2014/main" id="{E019644D-9E56-416F-ABE0-41CD0C38A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69589</xdr:colOff>
      <xdr:row>18</xdr:row>
      <xdr:rowOff>6283</xdr:rowOff>
    </xdr:from>
    <xdr:to>
      <xdr:col>7</xdr:col>
      <xdr:colOff>450127</xdr:colOff>
      <xdr:row>28</xdr:row>
      <xdr:rowOff>145299</xdr:rowOff>
    </xdr:to>
    <xdr:graphicFrame macro="">
      <xdr:nvGraphicFramePr>
        <xdr:cNvPr id="8" name="Chart 7">
          <a:extLst>
            <a:ext uri="{FF2B5EF4-FFF2-40B4-BE49-F238E27FC236}">
              <a16:creationId xmlns:a16="http://schemas.microsoft.com/office/drawing/2014/main" id="{84035623-3777-43F5-B553-49B7380F8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530506</xdr:colOff>
      <xdr:row>18</xdr:row>
      <xdr:rowOff>5975</xdr:rowOff>
    </xdr:from>
    <xdr:to>
      <xdr:col>12</xdr:col>
      <xdr:colOff>168797</xdr:colOff>
      <xdr:row>28</xdr:row>
      <xdr:rowOff>128914</xdr:rowOff>
    </xdr:to>
    <xdr:graphicFrame macro="">
      <xdr:nvGraphicFramePr>
        <xdr:cNvPr id="9" name="Chart 8">
          <a:extLst>
            <a:ext uri="{FF2B5EF4-FFF2-40B4-BE49-F238E27FC236}">
              <a16:creationId xmlns:a16="http://schemas.microsoft.com/office/drawing/2014/main" id="{7BD40CFB-7A31-452D-8298-CEF20186C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130256</xdr:colOff>
      <xdr:row>9</xdr:row>
      <xdr:rowOff>154164</xdr:rowOff>
    </xdr:from>
    <xdr:to>
      <xdr:col>2</xdr:col>
      <xdr:colOff>556713</xdr:colOff>
      <xdr:row>19</xdr:row>
      <xdr:rowOff>165273</xdr:rowOff>
    </xdr:to>
    <mc:AlternateContent xmlns:mc="http://schemas.openxmlformats.org/markup-compatibility/2006" xmlns:a14="http://schemas.microsoft.com/office/drawing/2010/main">
      <mc:Choice Requires="a14">
        <xdr:graphicFrame macro="">
          <xdr:nvGraphicFramePr>
            <xdr:cNvPr id="17" name="Category ">
              <a:extLst>
                <a:ext uri="{FF2B5EF4-FFF2-40B4-BE49-F238E27FC236}">
                  <a16:creationId xmlns:a16="http://schemas.microsoft.com/office/drawing/2014/main" id="{5A9B9DCB-6D7E-4BDA-AF69-F9C34E5483B5}"/>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739160" y="1798206"/>
              <a:ext cx="1135882" cy="1695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113973</xdr:colOff>
      <xdr:row>20</xdr:row>
      <xdr:rowOff>17397</xdr:rowOff>
    </xdr:from>
    <xdr:to>
      <xdr:col>2</xdr:col>
      <xdr:colOff>539314</xdr:colOff>
      <xdr:row>28</xdr:row>
      <xdr:rowOff>138398</xdr:rowOff>
    </xdr:to>
    <mc:AlternateContent xmlns:mc="http://schemas.openxmlformats.org/markup-compatibility/2006" xmlns:a14="http://schemas.microsoft.com/office/drawing/2010/main">
      <mc:Choice Requires="a14">
        <xdr:graphicFrame macro="">
          <xdr:nvGraphicFramePr>
            <xdr:cNvPr id="18" name="Payment Method">
              <a:extLst>
                <a:ext uri="{FF2B5EF4-FFF2-40B4-BE49-F238E27FC236}">
                  <a16:creationId xmlns:a16="http://schemas.microsoft.com/office/drawing/2014/main" id="{D31E5340-33DF-44A5-AA94-6EF62C15A20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22877" y="3560306"/>
              <a:ext cx="1152681" cy="1692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130257</xdr:colOff>
      <xdr:row>3</xdr:row>
      <xdr:rowOff>6801</xdr:rowOff>
    </xdr:from>
    <xdr:to>
      <xdr:col>2</xdr:col>
      <xdr:colOff>574111</xdr:colOff>
      <xdr:row>9</xdr:row>
      <xdr:rowOff>95685</xdr:rowOff>
    </xdr:to>
    <mc:AlternateContent xmlns:mc="http://schemas.openxmlformats.org/markup-compatibility/2006" xmlns:a14="http://schemas.microsoft.com/office/drawing/2010/main">
      <mc:Choice Requires="a14">
        <xdr:graphicFrame macro="">
          <xdr:nvGraphicFramePr>
            <xdr:cNvPr id="19" name="Delivery Status">
              <a:extLst>
                <a:ext uri="{FF2B5EF4-FFF2-40B4-BE49-F238E27FC236}">
                  <a16:creationId xmlns:a16="http://schemas.microsoft.com/office/drawing/2014/main" id="{9648A97F-C573-4FDE-86C1-A04A55BE5EA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739160" y="554815"/>
              <a:ext cx="1144539" cy="1170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182672</xdr:colOff>
      <xdr:row>9</xdr:row>
      <xdr:rowOff>34797</xdr:rowOff>
    </xdr:from>
    <xdr:to>
      <xdr:col>19</xdr:col>
      <xdr:colOff>530618</xdr:colOff>
      <xdr:row>14</xdr:row>
      <xdr:rowOff>147878</xdr:rowOff>
    </xdr:to>
    <xdr:sp macro="" textlink="'Dashboard data'!Q20">
      <xdr:nvSpPr>
        <xdr:cNvPr id="4" name="Rectangle: Rounded Corners 3">
          <a:extLst>
            <a:ext uri="{FF2B5EF4-FFF2-40B4-BE49-F238E27FC236}">
              <a16:creationId xmlns:a16="http://schemas.microsoft.com/office/drawing/2014/main" id="{7E9D6751-AF1E-7D1D-5AFD-E230E2C12637}"/>
            </a:ext>
          </a:extLst>
        </xdr:cNvPr>
        <xdr:cNvSpPr/>
      </xdr:nvSpPr>
      <xdr:spPr>
        <a:xfrm>
          <a:off x="10534042" y="1678838"/>
          <a:ext cx="1565754" cy="1026437"/>
        </a:xfrm>
        <a:prstGeom prst="round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i="0">
              <a:solidFill>
                <a:schemeClr val="lt1"/>
              </a:solidFill>
              <a:effectLst/>
              <a:latin typeface="+mn-lt"/>
              <a:ea typeface="+mn-ea"/>
              <a:cs typeface="+mn-cs"/>
            </a:rPr>
            <a:t>Cancelled product value</a:t>
          </a:r>
          <a:endParaRPr lang="en-IN" sz="1600">
            <a:effectLst/>
          </a:endParaRPr>
        </a:p>
        <a:p>
          <a:pPr algn="ctr"/>
          <a:fld id="{5EDC6E3E-530E-4EA0-8D94-695F4F9DE271}" type="TxLink">
            <a:rPr lang="en-US" sz="2000" b="0" i="0" u="none" strike="noStrike">
              <a:solidFill>
                <a:schemeClr val="bg1"/>
              </a:solidFill>
              <a:latin typeface="Calibri"/>
              <a:ea typeface="Calibri"/>
              <a:cs typeface="Calibri"/>
            </a:rPr>
            <a:pPr algn="ctr"/>
            <a:t>₹ 6,961</a:t>
          </a:fld>
          <a:endParaRPr lang="en-IN" sz="2000">
            <a:solidFill>
              <a:schemeClr val="bg1"/>
            </a:solidFill>
          </a:endParaRPr>
        </a:p>
      </xdr:txBody>
    </xdr:sp>
    <xdr:clientData/>
  </xdr:twoCellAnchor>
  <xdr:twoCellAnchor>
    <xdr:from>
      <xdr:col>17</xdr:col>
      <xdr:colOff>226164</xdr:colOff>
      <xdr:row>15</xdr:row>
      <xdr:rowOff>43493</xdr:rowOff>
    </xdr:from>
    <xdr:to>
      <xdr:col>19</xdr:col>
      <xdr:colOff>548013</xdr:colOff>
      <xdr:row>21</xdr:row>
      <xdr:rowOff>52194</xdr:rowOff>
    </xdr:to>
    <xdr:sp macro="" textlink="'Dashboard data'!Q17">
      <xdr:nvSpPr>
        <xdr:cNvPr id="5" name="Rectangle: Rounded Corners 4">
          <a:extLst>
            <a:ext uri="{FF2B5EF4-FFF2-40B4-BE49-F238E27FC236}">
              <a16:creationId xmlns:a16="http://schemas.microsoft.com/office/drawing/2014/main" id="{C14E3331-568F-41CB-AC80-482FDB09454F}"/>
            </a:ext>
          </a:extLst>
        </xdr:cNvPr>
        <xdr:cNvSpPr/>
      </xdr:nvSpPr>
      <xdr:spPr>
        <a:xfrm>
          <a:off x="10577534" y="2783561"/>
          <a:ext cx="1539657" cy="1104729"/>
        </a:xfrm>
        <a:prstGeom prst="round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a:solidFill>
                <a:schemeClr val="bg1"/>
              </a:solidFill>
              <a:effectLst/>
              <a:latin typeface="+mn-lt"/>
              <a:ea typeface="+mn-ea"/>
              <a:cs typeface="+mn-cs"/>
            </a:rPr>
            <a:t>Most</a:t>
          </a:r>
          <a:r>
            <a:rPr lang="en-US" sz="1800" b="0" i="0" baseline="0">
              <a:solidFill>
                <a:schemeClr val="bg1"/>
              </a:solidFill>
              <a:effectLst/>
              <a:latin typeface="+mn-lt"/>
              <a:ea typeface="+mn-ea"/>
              <a:cs typeface="+mn-cs"/>
            </a:rPr>
            <a:t> Selling Product</a:t>
          </a:r>
          <a:endParaRPr lang="en-US" sz="1800" b="0" i="0" u="none" strike="noStrike">
            <a:solidFill>
              <a:schemeClr val="bg1"/>
            </a:solidFill>
            <a:latin typeface="Calibri"/>
            <a:ea typeface="Calibri"/>
            <a:cs typeface="Calibri"/>
          </a:endParaRPr>
        </a:p>
        <a:p>
          <a:pPr algn="ctr"/>
          <a:fld id="{E54F3EB8-8C88-433F-A0FF-4149FAEA3790}" type="TxLink">
            <a:rPr lang="en-US" sz="1800" b="0" i="0" u="none" strike="noStrike">
              <a:solidFill>
                <a:schemeClr val="bg1"/>
              </a:solidFill>
              <a:latin typeface="Calibri"/>
              <a:ea typeface="Calibri"/>
              <a:cs typeface="Calibri"/>
            </a:rPr>
            <a:pPr algn="ctr"/>
            <a:t>PROD001</a:t>
          </a:fld>
          <a:endParaRPr lang="en-IN" sz="1800">
            <a:solidFill>
              <a:schemeClr val="bg1"/>
            </a:solidFill>
          </a:endParaRPr>
        </a:p>
      </xdr:txBody>
    </xdr:sp>
    <xdr:clientData/>
  </xdr:twoCellAnchor>
  <xdr:twoCellAnchor>
    <xdr:from>
      <xdr:col>17</xdr:col>
      <xdr:colOff>234862</xdr:colOff>
      <xdr:row>21</xdr:row>
      <xdr:rowOff>139177</xdr:rowOff>
    </xdr:from>
    <xdr:to>
      <xdr:col>19</xdr:col>
      <xdr:colOff>548013</xdr:colOff>
      <xdr:row>28</xdr:row>
      <xdr:rowOff>52191</xdr:rowOff>
    </xdr:to>
    <xdr:sp macro="" textlink="'Dashboard data'!Q14">
      <xdr:nvSpPr>
        <xdr:cNvPr id="11" name="Rectangle: Rounded Corners 10">
          <a:extLst>
            <a:ext uri="{FF2B5EF4-FFF2-40B4-BE49-F238E27FC236}">
              <a16:creationId xmlns:a16="http://schemas.microsoft.com/office/drawing/2014/main" id="{8F6A1436-E2AC-4843-86D2-CE146B8F9113}"/>
            </a:ext>
          </a:extLst>
        </xdr:cNvPr>
        <xdr:cNvSpPr/>
      </xdr:nvSpPr>
      <xdr:spPr>
        <a:xfrm>
          <a:off x="10586232" y="3975273"/>
          <a:ext cx="1530959" cy="1191713"/>
        </a:xfrm>
        <a:prstGeom prst="round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lt1"/>
              </a:solidFill>
              <a:effectLst/>
              <a:latin typeface="+mn-lt"/>
              <a:ea typeface="+mn-ea"/>
              <a:cs typeface="+mn-cs"/>
            </a:rPr>
            <a:t>Active / Successful Orders Sales</a:t>
          </a:r>
          <a:endParaRPr lang="en-IN" sz="1200">
            <a:effectLst/>
          </a:endParaRPr>
        </a:p>
        <a:p>
          <a:pPr algn="ctr"/>
          <a:fld id="{9921F7CC-7A6A-400A-B54A-BA4719E18413}" type="TxLink">
            <a:rPr lang="en-US" sz="1800" b="0" i="0" u="none" strike="noStrike">
              <a:solidFill>
                <a:schemeClr val="bg1"/>
              </a:solidFill>
              <a:latin typeface="Calibri"/>
              <a:ea typeface="Calibri"/>
              <a:cs typeface="Calibri"/>
            </a:rPr>
            <a:pPr algn="ctr"/>
            <a:t>₹ 28,297.00</a:t>
          </a:fld>
          <a:endParaRPr lang="en-IN" sz="1800">
            <a:solidFill>
              <a:schemeClr val="bg1"/>
            </a:solidFill>
          </a:endParaRPr>
        </a:p>
      </xdr:txBody>
    </xdr:sp>
    <xdr:clientData/>
  </xdr:twoCellAnchor>
  <xdr:twoCellAnchor>
    <xdr:from>
      <xdr:col>17</xdr:col>
      <xdr:colOff>156577</xdr:colOff>
      <xdr:row>3</xdr:row>
      <xdr:rowOff>12614</xdr:rowOff>
    </xdr:from>
    <xdr:to>
      <xdr:col>19</xdr:col>
      <xdr:colOff>530617</xdr:colOff>
      <xdr:row>8</xdr:row>
      <xdr:rowOff>79244</xdr:rowOff>
    </xdr:to>
    <xdr:sp macro="" textlink="'Dashboard data'!Q12">
      <xdr:nvSpPr>
        <xdr:cNvPr id="12" name="Rectangle: Rounded Corners 11">
          <a:extLst>
            <a:ext uri="{FF2B5EF4-FFF2-40B4-BE49-F238E27FC236}">
              <a16:creationId xmlns:a16="http://schemas.microsoft.com/office/drawing/2014/main" id="{0CFBB0BB-1B9C-41C4-ABD1-B2BEC6A5D382}"/>
            </a:ext>
          </a:extLst>
        </xdr:cNvPr>
        <xdr:cNvSpPr/>
      </xdr:nvSpPr>
      <xdr:spPr>
        <a:xfrm>
          <a:off x="10507947" y="560628"/>
          <a:ext cx="1591848" cy="979986"/>
        </a:xfrm>
        <a:prstGeom prst="round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chemeClr val="lt1"/>
              </a:solidFill>
              <a:effectLst/>
              <a:latin typeface="+mn-lt"/>
              <a:ea typeface="+mn-ea"/>
              <a:cs typeface="+mn-cs"/>
            </a:rPr>
            <a:t>Sales</a:t>
          </a:r>
          <a:endParaRPr lang="en-IN" sz="20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fld id="{797B9F4C-C46F-4DFA-80DC-E55AA4270808}" type="TxLink">
            <a:rPr lang="en-US" sz="2000" b="0"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35,258</a:t>
          </a:fld>
          <a:endParaRPr lang="en-IN" sz="2000">
            <a:solidFill>
              <a:schemeClr val="bg1"/>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403886805558" createdVersion="8" refreshedVersion="8" minRefreshableVersion="3" recordCount="100" xr:uid="{A19EDADA-74EE-4482-A09B-41119AB5E41C}">
  <cacheSource type="worksheet">
    <worksheetSource ref="A3:C103" sheet="Pivot Table"/>
  </cacheSource>
  <cacheFields count="3">
    <cacheField name="Region" numFmtId="0">
      <sharedItems count="5">
        <s v="North"/>
        <s v="East"/>
        <s v="South"/>
        <s v="Central"/>
        <s v="West"/>
      </sharedItems>
    </cacheField>
    <cacheField name="Category" numFmtId="0">
      <sharedItems count="5">
        <s v="Home"/>
        <s v="Toys"/>
        <s v="Fashion"/>
        <s v="Electronics"/>
        <s v="Books"/>
      </sharedItems>
    </cacheField>
    <cacheField name="Total Amount" numFmtId="1">
      <sharedItems containsSemiMixedTypes="0" containsString="0" containsNumber="1" containsInteger="1" minValue="21" maxValue="3260"/>
    </cacheField>
  </cacheFields>
  <extLst>
    <ext xmlns:x14="http://schemas.microsoft.com/office/spreadsheetml/2009/9/main" uri="{725AE2AE-9491-48be-B2B4-4EB974FC3084}">
      <x14:pivotCacheDefinition pivotCacheId="1846458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412222453706" createdVersion="8" refreshedVersion="8" minRefreshableVersion="3" recordCount="100" xr:uid="{527C4946-BB61-4451-B7AE-576504DBFC08}">
  <cacheSource type="worksheet">
    <worksheetSource ref="M3:O103" sheet="Pivot Table"/>
  </cacheSource>
  <cacheFields count="3">
    <cacheField name="Category" numFmtId="0">
      <sharedItems count="5">
        <s v="Home"/>
        <s v="Toys"/>
        <s v="Fashion"/>
        <s v="Electronics"/>
        <s v="Books"/>
      </sharedItems>
    </cacheField>
    <cacheField name="Delivery Status" numFmtId="0">
      <sharedItems count="3">
        <s v="Cancelled"/>
        <s v="Delivered"/>
        <s v="In Transit"/>
      </sharedItems>
    </cacheField>
    <cacheField name="Total Amount" numFmtId="1">
      <sharedItems containsSemiMixedTypes="0" containsString="0" containsNumber="1" containsInteger="1" minValue="21" maxValue="3260"/>
    </cacheField>
  </cacheFields>
  <extLst>
    <ext xmlns:x14="http://schemas.microsoft.com/office/spreadsheetml/2009/9/main" uri="{725AE2AE-9491-48be-B2B4-4EB974FC3084}">
      <x14:pivotCacheDefinition pivotCacheId="13010417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417350462965" createdVersion="8" refreshedVersion="8" minRefreshableVersion="3" recordCount="100" xr:uid="{E78DF287-AEC2-4B73-8A66-364FA20A484D}">
  <cacheSource type="worksheet">
    <worksheetSource ref="Y3:Y103" sheet="Pivot Table"/>
  </cacheSource>
  <cacheFields count="1">
    <cacheField name="Average Delivery Time " numFmtId="0">
      <sharedItems containsMixedTypes="1" containsNumber="1" containsInteger="1" minValue="1" maxValue="7" count="8">
        <s v=""/>
        <n v="2"/>
        <n v="3"/>
        <n v="6"/>
        <n v="1"/>
        <n v="4"/>
        <n v="5"/>
        <n v="7"/>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426783680552" createdVersion="8" refreshedVersion="8" minRefreshableVersion="3" recordCount="100" xr:uid="{4B44DBD9-ACF3-415A-B844-0460C9441DC2}">
  <cacheSource type="worksheet">
    <worksheetSource ref="AC3:AE103" sheet="Pivot Table"/>
  </cacheSource>
  <cacheFields count="3">
    <cacheField name="Category" numFmtId="0">
      <sharedItems count="5">
        <s v="Home"/>
        <s v="Toys"/>
        <s v="Fashion"/>
        <s v="Electronics"/>
        <s v="Books"/>
      </sharedItems>
    </cacheField>
    <cacheField name="Payment Method" numFmtId="0">
      <sharedItems count="5">
        <s v="Apple Pay"/>
        <s v="Credit Card"/>
        <s v="PayPal"/>
        <s v="Amazon Pay"/>
        <s v="Debit Card"/>
      </sharedItems>
    </cacheField>
    <cacheField name="Total Amount" numFmtId="1">
      <sharedItems containsSemiMixedTypes="0" containsString="0" containsNumber="1" containsInteger="1" minValue="21" maxValue="326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684806944446" createdVersion="8" refreshedVersion="8" minRefreshableVersion="3" recordCount="100" xr:uid="{265039C0-669F-4958-8738-1EEA9D1B7FE6}">
  <cacheSource type="worksheet">
    <worksheetSource ref="D1:E101" sheet="Advance Reporting"/>
  </cacheSource>
  <cacheFields count="2">
    <cacheField name="Region" numFmtId="0">
      <sharedItems count="5">
        <s v="North"/>
        <s v="East"/>
        <s v="South"/>
        <s v="Central"/>
        <s v="West"/>
      </sharedItems>
    </cacheField>
    <cacheField name="Total Amount" numFmtId="1">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707979513892" createdVersion="8" refreshedVersion="8" minRefreshableVersion="3" recordCount="100" xr:uid="{9D0E2287-6B8E-4259-ADDB-0AFF7FA2BDDA}">
  <cacheSource type="worksheet">
    <worksheetSource ref="B1:D101" sheet="Advance Reporting"/>
  </cacheSource>
  <cacheFields count="3">
    <cacheField name="Delivery " numFmtId="0">
      <sharedItems count="4">
        <s v="Cancelled"/>
        <s v="Fast"/>
        <s v="No Delivery Date"/>
        <s v="Slow"/>
      </sharedItems>
    </cacheField>
    <cacheField name="Delivery Status" numFmtId="0">
      <sharedItems count="3">
        <s v="Cancelled"/>
        <s v="In Transit"/>
        <s v="Delivered"/>
      </sharedItems>
    </cacheField>
    <cacheField name="Region" numFmtId="0">
      <sharedItems count="5">
        <s v="South"/>
        <s v="West"/>
        <s v="Central"/>
        <s v="North"/>
        <s v="East"/>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AUTAM" refreshedDate="45908.828995717595" createdVersion="8" refreshedVersion="8" minRefreshableVersion="3" recordCount="100" xr:uid="{C2FD929A-9B2B-4613-8826-DB4593B94D5A}">
  <cacheSource type="worksheet">
    <worksheetSource ref="A1:O101" sheet="Dashboard data"/>
  </cacheSource>
  <cacheFields count="17">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6"/>
    </cacheField>
    <cacheField name="Delivery Date" numFmtId="14">
      <sharedItems containsNonDate="0" containsDate="1" containsString="0" containsBlank="1" minDate="2023-01-09T00:00:00" maxDate="2024-01-02T00:00:00"/>
    </cacheField>
    <cacheField name="Average Delivery Time" numFmtId="0">
      <sharedItems containsString="0" containsBlank="1" containsNumber="1" containsInteger="1" minValue="1" maxValue="7"/>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Category" numFmtId="0">
      <sharedItems count="5">
        <s v="Home"/>
        <s v="Toys"/>
        <s v="Fashion"/>
        <s v="Electronics"/>
        <s v="Books"/>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 Amount" numFmtId="1">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96756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44"/>
  </r>
  <r>
    <x v="1"/>
    <x v="1"/>
    <n v="384"/>
  </r>
  <r>
    <x v="2"/>
    <x v="0"/>
    <n v="776"/>
  </r>
  <r>
    <x v="0"/>
    <x v="0"/>
    <n v="588"/>
  </r>
  <r>
    <x v="0"/>
    <x v="2"/>
    <n v="59"/>
  </r>
  <r>
    <x v="0"/>
    <x v="2"/>
    <n v="232"/>
  </r>
  <r>
    <x v="3"/>
    <x v="3"/>
    <n v="315"/>
  </r>
  <r>
    <x v="4"/>
    <x v="0"/>
    <n v="185"/>
  </r>
  <r>
    <x v="3"/>
    <x v="2"/>
    <n v="88"/>
  </r>
  <r>
    <x v="2"/>
    <x v="0"/>
    <n v="564"/>
  </r>
  <r>
    <x v="2"/>
    <x v="3"/>
    <n v="249"/>
  </r>
  <r>
    <x v="3"/>
    <x v="3"/>
    <n v="741"/>
  </r>
  <r>
    <x v="3"/>
    <x v="2"/>
    <n v="96"/>
  </r>
  <r>
    <x v="4"/>
    <x v="3"/>
    <n v="370"/>
  </r>
  <r>
    <x v="2"/>
    <x v="2"/>
    <n v="27"/>
  </r>
  <r>
    <x v="2"/>
    <x v="2"/>
    <n v="81"/>
  </r>
  <r>
    <x v="1"/>
    <x v="4"/>
    <n v="63"/>
  </r>
  <r>
    <x v="4"/>
    <x v="4"/>
    <n v="350"/>
  </r>
  <r>
    <x v="2"/>
    <x v="2"/>
    <n v="376"/>
  </r>
  <r>
    <x v="0"/>
    <x v="3"/>
    <n v="1626"/>
  </r>
  <r>
    <x v="3"/>
    <x v="4"/>
    <n v="84"/>
  </r>
  <r>
    <x v="4"/>
    <x v="0"/>
    <n v="230"/>
  </r>
  <r>
    <x v="4"/>
    <x v="2"/>
    <n v="174"/>
  </r>
  <r>
    <x v="4"/>
    <x v="2"/>
    <n v="480"/>
  </r>
  <r>
    <x v="2"/>
    <x v="1"/>
    <n v="43"/>
  </r>
  <r>
    <x v="2"/>
    <x v="2"/>
    <n v="256"/>
  </r>
  <r>
    <x v="2"/>
    <x v="4"/>
    <n v="140"/>
  </r>
  <r>
    <x v="3"/>
    <x v="1"/>
    <n v="291"/>
  </r>
  <r>
    <x v="1"/>
    <x v="0"/>
    <n v="111"/>
  </r>
  <r>
    <x v="0"/>
    <x v="4"/>
    <n v="345"/>
  </r>
  <r>
    <x v="0"/>
    <x v="1"/>
    <n v="210"/>
  </r>
  <r>
    <x v="1"/>
    <x v="4"/>
    <n v="55"/>
  </r>
  <r>
    <x v="2"/>
    <x v="2"/>
    <n v="54"/>
  </r>
  <r>
    <x v="2"/>
    <x v="4"/>
    <n v="21"/>
  </r>
  <r>
    <x v="2"/>
    <x v="3"/>
    <n v="172"/>
  </r>
  <r>
    <x v="0"/>
    <x v="0"/>
    <n v="636"/>
  </r>
  <r>
    <x v="1"/>
    <x v="1"/>
    <n v="164"/>
  </r>
  <r>
    <x v="0"/>
    <x v="1"/>
    <n v="64"/>
  </r>
  <r>
    <x v="1"/>
    <x v="2"/>
    <n v="132"/>
  </r>
  <r>
    <x v="1"/>
    <x v="1"/>
    <n v="248"/>
  </r>
  <r>
    <x v="4"/>
    <x v="3"/>
    <n v="692"/>
  </r>
  <r>
    <x v="4"/>
    <x v="1"/>
    <n v="189"/>
  </r>
  <r>
    <x v="4"/>
    <x v="0"/>
    <n v="108"/>
  </r>
  <r>
    <x v="3"/>
    <x v="1"/>
    <n v="62"/>
  </r>
  <r>
    <x v="3"/>
    <x v="0"/>
    <n v="685"/>
  </r>
  <r>
    <x v="0"/>
    <x v="3"/>
    <n v="292"/>
  </r>
  <r>
    <x v="0"/>
    <x v="3"/>
    <n v="104"/>
  </r>
  <r>
    <x v="1"/>
    <x v="2"/>
    <n v="97"/>
  </r>
  <r>
    <x v="2"/>
    <x v="3"/>
    <n v="365"/>
  </r>
  <r>
    <x v="1"/>
    <x v="2"/>
    <n v="81"/>
  </r>
  <r>
    <x v="0"/>
    <x v="0"/>
    <n v="37"/>
  </r>
  <r>
    <x v="0"/>
    <x v="4"/>
    <n v="22"/>
  </r>
  <r>
    <x v="3"/>
    <x v="0"/>
    <n v="1090"/>
  </r>
  <r>
    <x v="0"/>
    <x v="1"/>
    <n v="64"/>
  </r>
  <r>
    <x v="3"/>
    <x v="0"/>
    <n v="144"/>
  </r>
  <r>
    <x v="4"/>
    <x v="1"/>
    <n v="65"/>
  </r>
  <r>
    <x v="3"/>
    <x v="2"/>
    <n v="26"/>
  </r>
  <r>
    <x v="0"/>
    <x v="4"/>
    <n v="55"/>
  </r>
  <r>
    <x v="0"/>
    <x v="0"/>
    <n v="780"/>
  </r>
  <r>
    <x v="4"/>
    <x v="2"/>
    <n v="220"/>
  </r>
  <r>
    <x v="1"/>
    <x v="4"/>
    <n v="276"/>
  </r>
  <r>
    <x v="0"/>
    <x v="3"/>
    <n v="3260"/>
  </r>
  <r>
    <x v="1"/>
    <x v="2"/>
    <n v="27"/>
  </r>
  <r>
    <x v="4"/>
    <x v="0"/>
    <n v="695"/>
  </r>
  <r>
    <x v="2"/>
    <x v="4"/>
    <n v="207"/>
  </r>
  <r>
    <x v="4"/>
    <x v="2"/>
    <n v="42"/>
  </r>
  <r>
    <x v="0"/>
    <x v="1"/>
    <n v="124"/>
  </r>
  <r>
    <x v="4"/>
    <x v="3"/>
    <n v="312"/>
  </r>
  <r>
    <x v="1"/>
    <x v="2"/>
    <n v="116"/>
  </r>
  <r>
    <x v="4"/>
    <x v="1"/>
    <n v="124"/>
  </r>
  <r>
    <x v="1"/>
    <x v="2"/>
    <n v="43"/>
  </r>
  <r>
    <x v="1"/>
    <x v="1"/>
    <n v="248"/>
  </r>
  <r>
    <x v="0"/>
    <x v="2"/>
    <n v="190"/>
  </r>
  <r>
    <x v="3"/>
    <x v="0"/>
    <n v="144"/>
  </r>
  <r>
    <x v="1"/>
    <x v="3"/>
    <n v="365"/>
  </r>
  <r>
    <x v="0"/>
    <x v="2"/>
    <n v="172"/>
  </r>
  <r>
    <x v="4"/>
    <x v="0"/>
    <n v="1070"/>
  </r>
  <r>
    <x v="3"/>
    <x v="1"/>
    <n v="84"/>
  </r>
  <r>
    <x v="0"/>
    <x v="0"/>
    <n v="46"/>
  </r>
  <r>
    <x v="1"/>
    <x v="1"/>
    <n v="380"/>
  </r>
  <r>
    <x v="4"/>
    <x v="3"/>
    <n v="348"/>
  </r>
  <r>
    <x v="0"/>
    <x v="2"/>
    <n v="135"/>
  </r>
  <r>
    <x v="2"/>
    <x v="2"/>
    <n v="108"/>
  </r>
  <r>
    <x v="2"/>
    <x v="2"/>
    <n v="130"/>
  </r>
  <r>
    <x v="1"/>
    <x v="2"/>
    <n v="215"/>
  </r>
  <r>
    <x v="4"/>
    <x v="0"/>
    <n v="210"/>
  </r>
  <r>
    <x v="2"/>
    <x v="0"/>
    <n v="111"/>
  </r>
  <r>
    <x v="2"/>
    <x v="3"/>
    <n v="3152"/>
  </r>
  <r>
    <x v="4"/>
    <x v="0"/>
    <n v="1085"/>
  </r>
  <r>
    <x v="4"/>
    <x v="0"/>
    <n v="552"/>
  </r>
  <r>
    <x v="3"/>
    <x v="3"/>
    <n v="1606"/>
  </r>
  <r>
    <x v="0"/>
    <x v="3"/>
    <n v="1240"/>
  </r>
  <r>
    <x v="1"/>
    <x v="0"/>
    <n v="630"/>
  </r>
  <r>
    <x v="0"/>
    <x v="1"/>
    <n v="124"/>
  </r>
  <r>
    <x v="2"/>
    <x v="4"/>
    <n v="55"/>
  </r>
  <r>
    <x v="0"/>
    <x v="4"/>
    <n v="42"/>
  </r>
  <r>
    <x v="4"/>
    <x v="1"/>
    <n v="475"/>
  </r>
  <r>
    <x v="2"/>
    <x v="0"/>
    <n v="430"/>
  </r>
  <r>
    <x v="4"/>
    <x v="2"/>
    <n v="215"/>
  </r>
  <r>
    <x v="4"/>
    <x v="1"/>
    <n v="16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44"/>
  </r>
  <r>
    <x v="1"/>
    <x v="1"/>
    <n v="384"/>
  </r>
  <r>
    <x v="0"/>
    <x v="2"/>
    <n v="776"/>
  </r>
  <r>
    <x v="0"/>
    <x v="0"/>
    <n v="588"/>
  </r>
  <r>
    <x v="2"/>
    <x v="1"/>
    <n v="59"/>
  </r>
  <r>
    <x v="2"/>
    <x v="0"/>
    <n v="232"/>
  </r>
  <r>
    <x v="3"/>
    <x v="0"/>
    <n v="315"/>
  </r>
  <r>
    <x v="0"/>
    <x v="0"/>
    <n v="185"/>
  </r>
  <r>
    <x v="2"/>
    <x v="2"/>
    <n v="88"/>
  </r>
  <r>
    <x v="0"/>
    <x v="2"/>
    <n v="564"/>
  </r>
  <r>
    <x v="3"/>
    <x v="0"/>
    <n v="249"/>
  </r>
  <r>
    <x v="3"/>
    <x v="2"/>
    <n v="741"/>
  </r>
  <r>
    <x v="2"/>
    <x v="0"/>
    <n v="96"/>
  </r>
  <r>
    <x v="3"/>
    <x v="0"/>
    <n v="370"/>
  </r>
  <r>
    <x v="2"/>
    <x v="0"/>
    <n v="27"/>
  </r>
  <r>
    <x v="2"/>
    <x v="2"/>
    <n v="81"/>
  </r>
  <r>
    <x v="4"/>
    <x v="1"/>
    <n v="63"/>
  </r>
  <r>
    <x v="4"/>
    <x v="2"/>
    <n v="350"/>
  </r>
  <r>
    <x v="2"/>
    <x v="2"/>
    <n v="376"/>
  </r>
  <r>
    <x v="3"/>
    <x v="2"/>
    <n v="1626"/>
  </r>
  <r>
    <x v="4"/>
    <x v="2"/>
    <n v="84"/>
  </r>
  <r>
    <x v="0"/>
    <x v="2"/>
    <n v="230"/>
  </r>
  <r>
    <x v="2"/>
    <x v="0"/>
    <n v="174"/>
  </r>
  <r>
    <x v="2"/>
    <x v="1"/>
    <n v="480"/>
  </r>
  <r>
    <x v="1"/>
    <x v="1"/>
    <n v="43"/>
  </r>
  <r>
    <x v="2"/>
    <x v="1"/>
    <n v="256"/>
  </r>
  <r>
    <x v="4"/>
    <x v="2"/>
    <n v="140"/>
  </r>
  <r>
    <x v="1"/>
    <x v="2"/>
    <n v="291"/>
  </r>
  <r>
    <x v="0"/>
    <x v="0"/>
    <n v="111"/>
  </r>
  <r>
    <x v="4"/>
    <x v="2"/>
    <n v="345"/>
  </r>
  <r>
    <x v="1"/>
    <x v="2"/>
    <n v="210"/>
  </r>
  <r>
    <x v="4"/>
    <x v="0"/>
    <n v="55"/>
  </r>
  <r>
    <x v="2"/>
    <x v="1"/>
    <n v="54"/>
  </r>
  <r>
    <x v="4"/>
    <x v="2"/>
    <n v="21"/>
  </r>
  <r>
    <x v="3"/>
    <x v="1"/>
    <n v="172"/>
  </r>
  <r>
    <x v="0"/>
    <x v="2"/>
    <n v="636"/>
  </r>
  <r>
    <x v="1"/>
    <x v="1"/>
    <n v="164"/>
  </r>
  <r>
    <x v="1"/>
    <x v="0"/>
    <n v="64"/>
  </r>
  <r>
    <x v="2"/>
    <x v="2"/>
    <n v="132"/>
  </r>
  <r>
    <x v="1"/>
    <x v="2"/>
    <n v="248"/>
  </r>
  <r>
    <x v="3"/>
    <x v="1"/>
    <n v="692"/>
  </r>
  <r>
    <x v="1"/>
    <x v="1"/>
    <n v="189"/>
  </r>
  <r>
    <x v="0"/>
    <x v="0"/>
    <n v="108"/>
  </r>
  <r>
    <x v="1"/>
    <x v="0"/>
    <n v="62"/>
  </r>
  <r>
    <x v="0"/>
    <x v="0"/>
    <n v="685"/>
  </r>
  <r>
    <x v="3"/>
    <x v="1"/>
    <n v="292"/>
  </r>
  <r>
    <x v="3"/>
    <x v="1"/>
    <n v="104"/>
  </r>
  <r>
    <x v="2"/>
    <x v="1"/>
    <n v="97"/>
  </r>
  <r>
    <x v="3"/>
    <x v="2"/>
    <n v="365"/>
  </r>
  <r>
    <x v="2"/>
    <x v="1"/>
    <n v="81"/>
  </r>
  <r>
    <x v="0"/>
    <x v="2"/>
    <n v="37"/>
  </r>
  <r>
    <x v="4"/>
    <x v="1"/>
    <n v="22"/>
  </r>
  <r>
    <x v="0"/>
    <x v="1"/>
    <n v="1090"/>
  </r>
  <r>
    <x v="1"/>
    <x v="0"/>
    <n v="64"/>
  </r>
  <r>
    <x v="0"/>
    <x v="1"/>
    <n v="144"/>
  </r>
  <r>
    <x v="1"/>
    <x v="1"/>
    <n v="65"/>
  </r>
  <r>
    <x v="2"/>
    <x v="1"/>
    <n v="26"/>
  </r>
  <r>
    <x v="4"/>
    <x v="2"/>
    <n v="55"/>
  </r>
  <r>
    <x v="0"/>
    <x v="0"/>
    <n v="780"/>
  </r>
  <r>
    <x v="2"/>
    <x v="0"/>
    <n v="220"/>
  </r>
  <r>
    <x v="4"/>
    <x v="2"/>
    <n v="276"/>
  </r>
  <r>
    <x v="3"/>
    <x v="1"/>
    <n v="3260"/>
  </r>
  <r>
    <x v="2"/>
    <x v="2"/>
    <n v="27"/>
  </r>
  <r>
    <x v="0"/>
    <x v="1"/>
    <n v="695"/>
  </r>
  <r>
    <x v="4"/>
    <x v="0"/>
    <n v="207"/>
  </r>
  <r>
    <x v="2"/>
    <x v="0"/>
    <n v="42"/>
  </r>
  <r>
    <x v="1"/>
    <x v="1"/>
    <n v="124"/>
  </r>
  <r>
    <x v="3"/>
    <x v="2"/>
    <n v="312"/>
  </r>
  <r>
    <x v="2"/>
    <x v="0"/>
    <n v="116"/>
  </r>
  <r>
    <x v="1"/>
    <x v="0"/>
    <n v="124"/>
  </r>
  <r>
    <x v="2"/>
    <x v="1"/>
    <n v="43"/>
  </r>
  <r>
    <x v="1"/>
    <x v="2"/>
    <n v="248"/>
  </r>
  <r>
    <x v="2"/>
    <x v="0"/>
    <n v="190"/>
  </r>
  <r>
    <x v="0"/>
    <x v="1"/>
    <n v="144"/>
  </r>
  <r>
    <x v="3"/>
    <x v="2"/>
    <n v="365"/>
  </r>
  <r>
    <x v="2"/>
    <x v="1"/>
    <n v="172"/>
  </r>
  <r>
    <x v="0"/>
    <x v="1"/>
    <n v="1070"/>
  </r>
  <r>
    <x v="1"/>
    <x v="0"/>
    <n v="84"/>
  </r>
  <r>
    <x v="0"/>
    <x v="2"/>
    <n v="46"/>
  </r>
  <r>
    <x v="1"/>
    <x v="1"/>
    <n v="380"/>
  </r>
  <r>
    <x v="3"/>
    <x v="2"/>
    <n v="348"/>
  </r>
  <r>
    <x v="2"/>
    <x v="0"/>
    <n v="135"/>
  </r>
  <r>
    <x v="2"/>
    <x v="1"/>
    <n v="108"/>
  </r>
  <r>
    <x v="2"/>
    <x v="2"/>
    <n v="130"/>
  </r>
  <r>
    <x v="2"/>
    <x v="2"/>
    <n v="215"/>
  </r>
  <r>
    <x v="0"/>
    <x v="2"/>
    <n v="210"/>
  </r>
  <r>
    <x v="0"/>
    <x v="2"/>
    <n v="111"/>
  </r>
  <r>
    <x v="3"/>
    <x v="2"/>
    <n v="3152"/>
  </r>
  <r>
    <x v="0"/>
    <x v="2"/>
    <n v="1085"/>
  </r>
  <r>
    <x v="0"/>
    <x v="2"/>
    <n v="552"/>
  </r>
  <r>
    <x v="3"/>
    <x v="1"/>
    <n v="1606"/>
  </r>
  <r>
    <x v="3"/>
    <x v="0"/>
    <n v="1240"/>
  </r>
  <r>
    <x v="0"/>
    <x v="1"/>
    <n v="630"/>
  </r>
  <r>
    <x v="1"/>
    <x v="0"/>
    <n v="124"/>
  </r>
  <r>
    <x v="4"/>
    <x v="0"/>
    <n v="55"/>
  </r>
  <r>
    <x v="4"/>
    <x v="1"/>
    <n v="42"/>
  </r>
  <r>
    <x v="1"/>
    <x v="1"/>
    <n v="475"/>
  </r>
  <r>
    <x v="0"/>
    <x v="1"/>
    <n v="430"/>
  </r>
  <r>
    <x v="2"/>
    <x v="0"/>
    <n v="215"/>
  </r>
  <r>
    <x v="1"/>
    <x v="2"/>
    <n v="16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r>
  <r>
    <x v="1"/>
  </r>
  <r>
    <x v="0"/>
  </r>
  <r>
    <x v="0"/>
  </r>
  <r>
    <x v="2"/>
  </r>
  <r>
    <x v="0"/>
  </r>
  <r>
    <x v="0"/>
  </r>
  <r>
    <x v="0"/>
  </r>
  <r>
    <x v="0"/>
  </r>
  <r>
    <x v="0"/>
  </r>
  <r>
    <x v="0"/>
  </r>
  <r>
    <x v="0"/>
  </r>
  <r>
    <x v="0"/>
  </r>
  <r>
    <x v="0"/>
  </r>
  <r>
    <x v="0"/>
  </r>
  <r>
    <x v="0"/>
  </r>
  <r>
    <x v="2"/>
  </r>
  <r>
    <x v="0"/>
  </r>
  <r>
    <x v="0"/>
  </r>
  <r>
    <x v="0"/>
  </r>
  <r>
    <x v="0"/>
  </r>
  <r>
    <x v="0"/>
  </r>
  <r>
    <x v="0"/>
  </r>
  <r>
    <x v="2"/>
  </r>
  <r>
    <x v="1"/>
  </r>
  <r>
    <x v="3"/>
  </r>
  <r>
    <x v="0"/>
  </r>
  <r>
    <x v="0"/>
  </r>
  <r>
    <x v="0"/>
  </r>
  <r>
    <x v="0"/>
  </r>
  <r>
    <x v="0"/>
  </r>
  <r>
    <x v="0"/>
  </r>
  <r>
    <x v="4"/>
  </r>
  <r>
    <x v="0"/>
  </r>
  <r>
    <x v="5"/>
  </r>
  <r>
    <x v="0"/>
  </r>
  <r>
    <x v="6"/>
  </r>
  <r>
    <x v="0"/>
  </r>
  <r>
    <x v="0"/>
  </r>
  <r>
    <x v="0"/>
  </r>
  <r>
    <x v="7"/>
  </r>
  <r>
    <x v="1"/>
  </r>
  <r>
    <x v="0"/>
  </r>
  <r>
    <x v="0"/>
  </r>
  <r>
    <x v="0"/>
  </r>
  <r>
    <x v="5"/>
  </r>
  <r>
    <x v="1"/>
  </r>
  <r>
    <x v="6"/>
  </r>
  <r>
    <x v="0"/>
  </r>
  <r>
    <x v="7"/>
  </r>
  <r>
    <x v="0"/>
  </r>
  <r>
    <x v="1"/>
  </r>
  <r>
    <x v="2"/>
  </r>
  <r>
    <x v="0"/>
  </r>
  <r>
    <x v="5"/>
  </r>
  <r>
    <x v="2"/>
  </r>
  <r>
    <x v="1"/>
  </r>
  <r>
    <x v="0"/>
  </r>
  <r>
    <x v="0"/>
  </r>
  <r>
    <x v="0"/>
  </r>
  <r>
    <x v="0"/>
  </r>
  <r>
    <x v="7"/>
  </r>
  <r>
    <x v="0"/>
  </r>
  <r>
    <x v="5"/>
  </r>
  <r>
    <x v="0"/>
  </r>
  <r>
    <x v="0"/>
  </r>
  <r>
    <x v="1"/>
  </r>
  <r>
    <x v="0"/>
  </r>
  <r>
    <x v="0"/>
  </r>
  <r>
    <x v="0"/>
  </r>
  <r>
    <x v="7"/>
  </r>
  <r>
    <x v="0"/>
  </r>
  <r>
    <x v="0"/>
  </r>
  <r>
    <x v="3"/>
  </r>
  <r>
    <x v="0"/>
  </r>
  <r>
    <x v="3"/>
  </r>
  <r>
    <x v="1"/>
  </r>
  <r>
    <x v="0"/>
  </r>
  <r>
    <x v="0"/>
  </r>
  <r>
    <x v="2"/>
  </r>
  <r>
    <x v="0"/>
  </r>
  <r>
    <x v="0"/>
  </r>
  <r>
    <x v="1"/>
  </r>
  <r>
    <x v="0"/>
  </r>
  <r>
    <x v="0"/>
  </r>
  <r>
    <x v="0"/>
  </r>
  <r>
    <x v="0"/>
  </r>
  <r>
    <x v="0"/>
  </r>
  <r>
    <x v="0"/>
  </r>
  <r>
    <x v="0"/>
  </r>
  <r>
    <x v="3"/>
  </r>
  <r>
    <x v="0"/>
  </r>
  <r>
    <x v="1"/>
  </r>
  <r>
    <x v="0"/>
  </r>
  <r>
    <x v="0"/>
  </r>
  <r>
    <x v="2"/>
  </r>
  <r>
    <x v="2"/>
  </r>
  <r>
    <x v="6"/>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44"/>
  </r>
  <r>
    <x v="1"/>
    <x v="1"/>
    <n v="384"/>
  </r>
  <r>
    <x v="0"/>
    <x v="1"/>
    <n v="776"/>
  </r>
  <r>
    <x v="0"/>
    <x v="2"/>
    <n v="588"/>
  </r>
  <r>
    <x v="2"/>
    <x v="2"/>
    <n v="59"/>
  </r>
  <r>
    <x v="2"/>
    <x v="3"/>
    <n v="232"/>
  </r>
  <r>
    <x v="3"/>
    <x v="4"/>
    <n v="315"/>
  </r>
  <r>
    <x v="0"/>
    <x v="2"/>
    <n v="185"/>
  </r>
  <r>
    <x v="2"/>
    <x v="1"/>
    <n v="88"/>
  </r>
  <r>
    <x v="0"/>
    <x v="4"/>
    <n v="564"/>
  </r>
  <r>
    <x v="3"/>
    <x v="3"/>
    <n v="249"/>
  </r>
  <r>
    <x v="3"/>
    <x v="3"/>
    <n v="741"/>
  </r>
  <r>
    <x v="2"/>
    <x v="0"/>
    <n v="96"/>
  </r>
  <r>
    <x v="3"/>
    <x v="0"/>
    <n v="370"/>
  </r>
  <r>
    <x v="2"/>
    <x v="1"/>
    <n v="27"/>
  </r>
  <r>
    <x v="2"/>
    <x v="4"/>
    <n v="81"/>
  </r>
  <r>
    <x v="4"/>
    <x v="1"/>
    <n v="63"/>
  </r>
  <r>
    <x v="4"/>
    <x v="2"/>
    <n v="350"/>
  </r>
  <r>
    <x v="2"/>
    <x v="1"/>
    <n v="376"/>
  </r>
  <r>
    <x v="3"/>
    <x v="1"/>
    <n v="1626"/>
  </r>
  <r>
    <x v="4"/>
    <x v="2"/>
    <n v="84"/>
  </r>
  <r>
    <x v="0"/>
    <x v="2"/>
    <n v="230"/>
  </r>
  <r>
    <x v="2"/>
    <x v="3"/>
    <n v="174"/>
  </r>
  <r>
    <x v="2"/>
    <x v="3"/>
    <n v="480"/>
  </r>
  <r>
    <x v="1"/>
    <x v="4"/>
    <n v="43"/>
  </r>
  <r>
    <x v="2"/>
    <x v="4"/>
    <n v="256"/>
  </r>
  <r>
    <x v="4"/>
    <x v="3"/>
    <n v="140"/>
  </r>
  <r>
    <x v="1"/>
    <x v="1"/>
    <n v="291"/>
  </r>
  <r>
    <x v="0"/>
    <x v="0"/>
    <n v="111"/>
  </r>
  <r>
    <x v="4"/>
    <x v="3"/>
    <n v="345"/>
  </r>
  <r>
    <x v="1"/>
    <x v="3"/>
    <n v="210"/>
  </r>
  <r>
    <x v="4"/>
    <x v="4"/>
    <n v="55"/>
  </r>
  <r>
    <x v="2"/>
    <x v="0"/>
    <n v="54"/>
  </r>
  <r>
    <x v="4"/>
    <x v="3"/>
    <n v="21"/>
  </r>
  <r>
    <x v="3"/>
    <x v="2"/>
    <n v="172"/>
  </r>
  <r>
    <x v="0"/>
    <x v="3"/>
    <n v="636"/>
  </r>
  <r>
    <x v="1"/>
    <x v="1"/>
    <n v="164"/>
  </r>
  <r>
    <x v="1"/>
    <x v="4"/>
    <n v="64"/>
  </r>
  <r>
    <x v="2"/>
    <x v="0"/>
    <n v="132"/>
  </r>
  <r>
    <x v="1"/>
    <x v="4"/>
    <n v="248"/>
  </r>
  <r>
    <x v="3"/>
    <x v="0"/>
    <n v="692"/>
  </r>
  <r>
    <x v="1"/>
    <x v="0"/>
    <n v="189"/>
  </r>
  <r>
    <x v="0"/>
    <x v="4"/>
    <n v="108"/>
  </r>
  <r>
    <x v="1"/>
    <x v="0"/>
    <n v="62"/>
  </r>
  <r>
    <x v="0"/>
    <x v="3"/>
    <n v="685"/>
  </r>
  <r>
    <x v="3"/>
    <x v="1"/>
    <n v="292"/>
  </r>
  <r>
    <x v="3"/>
    <x v="2"/>
    <n v="104"/>
  </r>
  <r>
    <x v="2"/>
    <x v="3"/>
    <n v="97"/>
  </r>
  <r>
    <x v="3"/>
    <x v="0"/>
    <n v="365"/>
  </r>
  <r>
    <x v="2"/>
    <x v="3"/>
    <n v="81"/>
  </r>
  <r>
    <x v="0"/>
    <x v="0"/>
    <n v="37"/>
  </r>
  <r>
    <x v="4"/>
    <x v="4"/>
    <n v="22"/>
  </r>
  <r>
    <x v="0"/>
    <x v="2"/>
    <n v="1090"/>
  </r>
  <r>
    <x v="1"/>
    <x v="0"/>
    <n v="64"/>
  </r>
  <r>
    <x v="0"/>
    <x v="2"/>
    <n v="144"/>
  </r>
  <r>
    <x v="1"/>
    <x v="3"/>
    <n v="65"/>
  </r>
  <r>
    <x v="2"/>
    <x v="0"/>
    <n v="26"/>
  </r>
  <r>
    <x v="4"/>
    <x v="1"/>
    <n v="55"/>
  </r>
  <r>
    <x v="0"/>
    <x v="2"/>
    <n v="780"/>
  </r>
  <r>
    <x v="2"/>
    <x v="0"/>
    <n v="220"/>
  </r>
  <r>
    <x v="4"/>
    <x v="4"/>
    <n v="276"/>
  </r>
  <r>
    <x v="3"/>
    <x v="1"/>
    <n v="3260"/>
  </r>
  <r>
    <x v="2"/>
    <x v="4"/>
    <n v="27"/>
  </r>
  <r>
    <x v="0"/>
    <x v="0"/>
    <n v="695"/>
  </r>
  <r>
    <x v="4"/>
    <x v="2"/>
    <n v="207"/>
  </r>
  <r>
    <x v="2"/>
    <x v="0"/>
    <n v="42"/>
  </r>
  <r>
    <x v="1"/>
    <x v="1"/>
    <n v="124"/>
  </r>
  <r>
    <x v="3"/>
    <x v="1"/>
    <n v="312"/>
  </r>
  <r>
    <x v="2"/>
    <x v="0"/>
    <n v="116"/>
  </r>
  <r>
    <x v="1"/>
    <x v="4"/>
    <n v="124"/>
  </r>
  <r>
    <x v="2"/>
    <x v="1"/>
    <n v="43"/>
  </r>
  <r>
    <x v="1"/>
    <x v="4"/>
    <n v="248"/>
  </r>
  <r>
    <x v="2"/>
    <x v="2"/>
    <n v="190"/>
  </r>
  <r>
    <x v="0"/>
    <x v="0"/>
    <n v="144"/>
  </r>
  <r>
    <x v="3"/>
    <x v="0"/>
    <n v="365"/>
  </r>
  <r>
    <x v="2"/>
    <x v="4"/>
    <n v="172"/>
  </r>
  <r>
    <x v="0"/>
    <x v="4"/>
    <n v="1070"/>
  </r>
  <r>
    <x v="1"/>
    <x v="0"/>
    <n v="84"/>
  </r>
  <r>
    <x v="0"/>
    <x v="3"/>
    <n v="46"/>
  </r>
  <r>
    <x v="1"/>
    <x v="1"/>
    <n v="380"/>
  </r>
  <r>
    <x v="3"/>
    <x v="2"/>
    <n v="348"/>
  </r>
  <r>
    <x v="2"/>
    <x v="1"/>
    <n v="135"/>
  </r>
  <r>
    <x v="2"/>
    <x v="2"/>
    <n v="108"/>
  </r>
  <r>
    <x v="2"/>
    <x v="2"/>
    <n v="130"/>
  </r>
  <r>
    <x v="2"/>
    <x v="4"/>
    <n v="215"/>
  </r>
  <r>
    <x v="0"/>
    <x v="2"/>
    <n v="210"/>
  </r>
  <r>
    <x v="0"/>
    <x v="1"/>
    <n v="111"/>
  </r>
  <r>
    <x v="3"/>
    <x v="4"/>
    <n v="3152"/>
  </r>
  <r>
    <x v="0"/>
    <x v="4"/>
    <n v="1085"/>
  </r>
  <r>
    <x v="0"/>
    <x v="1"/>
    <n v="552"/>
  </r>
  <r>
    <x v="3"/>
    <x v="0"/>
    <n v="1606"/>
  </r>
  <r>
    <x v="3"/>
    <x v="2"/>
    <n v="1240"/>
  </r>
  <r>
    <x v="0"/>
    <x v="0"/>
    <n v="630"/>
  </r>
  <r>
    <x v="1"/>
    <x v="1"/>
    <n v="124"/>
  </r>
  <r>
    <x v="4"/>
    <x v="4"/>
    <n v="55"/>
  </r>
  <r>
    <x v="4"/>
    <x v="3"/>
    <n v="42"/>
  </r>
  <r>
    <x v="1"/>
    <x v="3"/>
    <n v="475"/>
  </r>
  <r>
    <x v="0"/>
    <x v="2"/>
    <n v="430"/>
  </r>
  <r>
    <x v="2"/>
    <x v="1"/>
    <n v="215"/>
  </r>
  <r>
    <x v="1"/>
    <x v="4"/>
    <n v="16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r>
  <r>
    <x v="1"/>
    <x v="1"/>
  </r>
  <r>
    <x v="2"/>
    <x v="2"/>
  </r>
  <r>
    <x v="0"/>
    <x v="3"/>
  </r>
  <r>
    <x v="0"/>
    <x v="4"/>
  </r>
  <r>
    <x v="0"/>
    <x v="5"/>
  </r>
  <r>
    <x v="3"/>
    <x v="6"/>
  </r>
  <r>
    <x v="4"/>
    <x v="7"/>
  </r>
  <r>
    <x v="3"/>
    <x v="8"/>
  </r>
  <r>
    <x v="2"/>
    <x v="9"/>
  </r>
  <r>
    <x v="2"/>
    <x v="10"/>
  </r>
  <r>
    <x v="3"/>
    <x v="11"/>
  </r>
  <r>
    <x v="3"/>
    <x v="12"/>
  </r>
  <r>
    <x v="4"/>
    <x v="13"/>
  </r>
  <r>
    <x v="2"/>
    <x v="14"/>
  </r>
  <r>
    <x v="2"/>
    <x v="15"/>
  </r>
  <r>
    <x v="1"/>
    <x v="16"/>
  </r>
  <r>
    <x v="4"/>
    <x v="17"/>
  </r>
  <r>
    <x v="2"/>
    <x v="18"/>
  </r>
  <r>
    <x v="0"/>
    <x v="19"/>
  </r>
  <r>
    <x v="3"/>
    <x v="20"/>
  </r>
  <r>
    <x v="4"/>
    <x v="21"/>
  </r>
  <r>
    <x v="4"/>
    <x v="22"/>
  </r>
  <r>
    <x v="4"/>
    <x v="23"/>
  </r>
  <r>
    <x v="2"/>
    <x v="24"/>
  </r>
  <r>
    <x v="2"/>
    <x v="25"/>
  </r>
  <r>
    <x v="2"/>
    <x v="26"/>
  </r>
  <r>
    <x v="3"/>
    <x v="27"/>
  </r>
  <r>
    <x v="1"/>
    <x v="28"/>
  </r>
  <r>
    <x v="0"/>
    <x v="29"/>
  </r>
  <r>
    <x v="0"/>
    <x v="30"/>
  </r>
  <r>
    <x v="1"/>
    <x v="31"/>
  </r>
  <r>
    <x v="2"/>
    <x v="32"/>
  </r>
  <r>
    <x v="2"/>
    <x v="33"/>
  </r>
  <r>
    <x v="2"/>
    <x v="34"/>
  </r>
  <r>
    <x v="0"/>
    <x v="35"/>
  </r>
  <r>
    <x v="1"/>
    <x v="36"/>
  </r>
  <r>
    <x v="0"/>
    <x v="37"/>
  </r>
  <r>
    <x v="1"/>
    <x v="38"/>
  </r>
  <r>
    <x v="1"/>
    <x v="39"/>
  </r>
  <r>
    <x v="4"/>
    <x v="40"/>
  </r>
  <r>
    <x v="4"/>
    <x v="41"/>
  </r>
  <r>
    <x v="4"/>
    <x v="42"/>
  </r>
  <r>
    <x v="3"/>
    <x v="43"/>
  </r>
  <r>
    <x v="3"/>
    <x v="44"/>
  </r>
  <r>
    <x v="0"/>
    <x v="45"/>
  </r>
  <r>
    <x v="0"/>
    <x v="46"/>
  </r>
  <r>
    <x v="1"/>
    <x v="47"/>
  </r>
  <r>
    <x v="2"/>
    <x v="48"/>
  </r>
  <r>
    <x v="1"/>
    <x v="15"/>
  </r>
  <r>
    <x v="0"/>
    <x v="49"/>
  </r>
  <r>
    <x v="0"/>
    <x v="50"/>
  </r>
  <r>
    <x v="3"/>
    <x v="51"/>
  </r>
  <r>
    <x v="0"/>
    <x v="37"/>
  </r>
  <r>
    <x v="3"/>
    <x v="52"/>
  </r>
  <r>
    <x v="4"/>
    <x v="53"/>
  </r>
  <r>
    <x v="3"/>
    <x v="54"/>
  </r>
  <r>
    <x v="0"/>
    <x v="31"/>
  </r>
  <r>
    <x v="0"/>
    <x v="55"/>
  </r>
  <r>
    <x v="4"/>
    <x v="56"/>
  </r>
  <r>
    <x v="1"/>
    <x v="57"/>
  </r>
  <r>
    <x v="0"/>
    <x v="58"/>
  </r>
  <r>
    <x v="1"/>
    <x v="14"/>
  </r>
  <r>
    <x v="4"/>
    <x v="59"/>
  </r>
  <r>
    <x v="2"/>
    <x v="60"/>
  </r>
  <r>
    <x v="4"/>
    <x v="61"/>
  </r>
  <r>
    <x v="0"/>
    <x v="62"/>
  </r>
  <r>
    <x v="4"/>
    <x v="63"/>
  </r>
  <r>
    <x v="1"/>
    <x v="64"/>
  </r>
  <r>
    <x v="4"/>
    <x v="62"/>
  </r>
  <r>
    <x v="1"/>
    <x v="24"/>
  </r>
  <r>
    <x v="1"/>
    <x v="39"/>
  </r>
  <r>
    <x v="0"/>
    <x v="65"/>
  </r>
  <r>
    <x v="3"/>
    <x v="52"/>
  </r>
  <r>
    <x v="1"/>
    <x v="48"/>
  </r>
  <r>
    <x v="0"/>
    <x v="34"/>
  </r>
  <r>
    <x v="4"/>
    <x v="66"/>
  </r>
  <r>
    <x v="3"/>
    <x v="20"/>
  </r>
  <r>
    <x v="0"/>
    <x v="67"/>
  </r>
  <r>
    <x v="1"/>
    <x v="68"/>
  </r>
  <r>
    <x v="4"/>
    <x v="69"/>
  </r>
  <r>
    <x v="0"/>
    <x v="70"/>
  </r>
  <r>
    <x v="2"/>
    <x v="42"/>
  </r>
  <r>
    <x v="2"/>
    <x v="71"/>
  </r>
  <r>
    <x v="1"/>
    <x v="72"/>
  </r>
  <r>
    <x v="4"/>
    <x v="30"/>
  </r>
  <r>
    <x v="2"/>
    <x v="28"/>
  </r>
  <r>
    <x v="2"/>
    <x v="73"/>
  </r>
  <r>
    <x v="4"/>
    <x v="74"/>
  </r>
  <r>
    <x v="4"/>
    <x v="75"/>
  </r>
  <r>
    <x v="3"/>
    <x v="76"/>
  </r>
  <r>
    <x v="0"/>
    <x v="77"/>
  </r>
  <r>
    <x v="1"/>
    <x v="78"/>
  </r>
  <r>
    <x v="0"/>
    <x v="62"/>
  </r>
  <r>
    <x v="2"/>
    <x v="31"/>
  </r>
  <r>
    <x v="0"/>
    <x v="61"/>
  </r>
  <r>
    <x v="4"/>
    <x v="79"/>
  </r>
  <r>
    <x v="2"/>
    <x v="80"/>
  </r>
  <r>
    <x v="4"/>
    <x v="72"/>
  </r>
  <r>
    <x v="4"/>
    <x v="8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r>
  <r>
    <x v="1"/>
    <x v="1"/>
    <x v="0"/>
  </r>
  <r>
    <x v="2"/>
    <x v="0"/>
    <x v="1"/>
  </r>
  <r>
    <x v="0"/>
    <x v="1"/>
    <x v="1"/>
  </r>
  <r>
    <x v="3"/>
    <x v="1"/>
    <x v="2"/>
  </r>
  <r>
    <x v="0"/>
    <x v="1"/>
    <x v="0"/>
  </r>
  <r>
    <x v="0"/>
    <x v="1"/>
    <x v="2"/>
  </r>
  <r>
    <x v="0"/>
    <x v="0"/>
    <x v="1"/>
  </r>
  <r>
    <x v="2"/>
    <x v="1"/>
    <x v="1"/>
  </r>
  <r>
    <x v="2"/>
    <x v="0"/>
    <x v="3"/>
  </r>
  <r>
    <x v="0"/>
    <x v="1"/>
    <x v="0"/>
  </r>
  <r>
    <x v="2"/>
    <x v="0"/>
    <x v="3"/>
  </r>
  <r>
    <x v="0"/>
    <x v="1"/>
    <x v="0"/>
  </r>
  <r>
    <x v="0"/>
    <x v="1"/>
    <x v="2"/>
  </r>
  <r>
    <x v="0"/>
    <x v="0"/>
    <x v="2"/>
  </r>
  <r>
    <x v="2"/>
    <x v="1"/>
    <x v="3"/>
  </r>
  <r>
    <x v="3"/>
    <x v="0"/>
    <x v="0"/>
  </r>
  <r>
    <x v="2"/>
    <x v="2"/>
    <x v="4"/>
  </r>
  <r>
    <x v="2"/>
    <x v="0"/>
    <x v="2"/>
  </r>
  <r>
    <x v="2"/>
    <x v="2"/>
    <x v="3"/>
  </r>
  <r>
    <x v="2"/>
    <x v="0"/>
    <x v="3"/>
  </r>
  <r>
    <x v="2"/>
    <x v="2"/>
    <x v="4"/>
  </r>
  <r>
    <x v="0"/>
    <x v="0"/>
    <x v="1"/>
  </r>
  <r>
    <x v="3"/>
    <x v="2"/>
    <x v="1"/>
  </r>
  <r>
    <x v="1"/>
    <x v="2"/>
    <x v="0"/>
  </r>
  <r>
    <x v="3"/>
    <x v="2"/>
    <x v="0"/>
  </r>
  <r>
    <x v="2"/>
    <x v="1"/>
    <x v="0"/>
  </r>
  <r>
    <x v="2"/>
    <x v="1"/>
    <x v="2"/>
  </r>
  <r>
    <x v="0"/>
    <x v="0"/>
    <x v="4"/>
  </r>
  <r>
    <x v="2"/>
    <x v="1"/>
    <x v="3"/>
  </r>
  <r>
    <x v="2"/>
    <x v="1"/>
    <x v="3"/>
  </r>
  <r>
    <x v="0"/>
    <x v="0"/>
    <x v="4"/>
  </r>
  <r>
    <x v="1"/>
    <x v="2"/>
    <x v="0"/>
  </r>
  <r>
    <x v="2"/>
    <x v="1"/>
    <x v="0"/>
  </r>
  <r>
    <x v="3"/>
    <x v="2"/>
    <x v="0"/>
  </r>
  <r>
    <x v="2"/>
    <x v="1"/>
    <x v="3"/>
  </r>
  <r>
    <x v="3"/>
    <x v="2"/>
    <x v="4"/>
  </r>
  <r>
    <x v="0"/>
    <x v="0"/>
    <x v="3"/>
  </r>
  <r>
    <x v="2"/>
    <x v="1"/>
    <x v="4"/>
  </r>
  <r>
    <x v="2"/>
    <x v="1"/>
    <x v="4"/>
  </r>
  <r>
    <x v="3"/>
    <x v="2"/>
    <x v="1"/>
  </r>
  <r>
    <x v="1"/>
    <x v="2"/>
    <x v="1"/>
  </r>
  <r>
    <x v="0"/>
    <x v="0"/>
    <x v="1"/>
  </r>
  <r>
    <x v="0"/>
    <x v="0"/>
    <x v="2"/>
  </r>
  <r>
    <x v="0"/>
    <x v="0"/>
    <x v="2"/>
  </r>
  <r>
    <x v="3"/>
    <x v="2"/>
    <x v="3"/>
  </r>
  <r>
    <x v="1"/>
    <x v="2"/>
    <x v="3"/>
  </r>
  <r>
    <x v="3"/>
    <x v="2"/>
    <x v="4"/>
  </r>
  <r>
    <x v="2"/>
    <x v="1"/>
    <x v="0"/>
  </r>
  <r>
    <x v="3"/>
    <x v="2"/>
    <x v="4"/>
  </r>
  <r>
    <x v="2"/>
    <x v="1"/>
    <x v="3"/>
  </r>
  <r>
    <x v="1"/>
    <x v="2"/>
    <x v="3"/>
  </r>
  <r>
    <x v="3"/>
    <x v="2"/>
    <x v="2"/>
  </r>
  <r>
    <x v="0"/>
    <x v="0"/>
    <x v="3"/>
  </r>
  <r>
    <x v="3"/>
    <x v="2"/>
    <x v="2"/>
  </r>
  <r>
    <x v="3"/>
    <x v="2"/>
    <x v="1"/>
  </r>
  <r>
    <x v="1"/>
    <x v="2"/>
    <x v="2"/>
  </r>
  <r>
    <x v="2"/>
    <x v="1"/>
    <x v="3"/>
  </r>
  <r>
    <x v="0"/>
    <x v="0"/>
    <x v="3"/>
  </r>
  <r>
    <x v="0"/>
    <x v="0"/>
    <x v="1"/>
  </r>
  <r>
    <x v="2"/>
    <x v="1"/>
    <x v="4"/>
  </r>
  <r>
    <x v="3"/>
    <x v="2"/>
    <x v="3"/>
  </r>
  <r>
    <x v="2"/>
    <x v="1"/>
    <x v="4"/>
  </r>
  <r>
    <x v="3"/>
    <x v="2"/>
    <x v="1"/>
  </r>
  <r>
    <x v="0"/>
    <x v="0"/>
    <x v="0"/>
  </r>
  <r>
    <x v="0"/>
    <x v="0"/>
    <x v="1"/>
  </r>
  <r>
    <x v="1"/>
    <x v="2"/>
    <x v="3"/>
  </r>
  <r>
    <x v="2"/>
    <x v="1"/>
    <x v="1"/>
  </r>
  <r>
    <x v="0"/>
    <x v="0"/>
    <x v="4"/>
  </r>
  <r>
    <x v="0"/>
    <x v="0"/>
    <x v="1"/>
  </r>
  <r>
    <x v="3"/>
    <x v="2"/>
    <x v="4"/>
  </r>
  <r>
    <x v="2"/>
    <x v="1"/>
    <x v="4"/>
  </r>
  <r>
    <x v="0"/>
    <x v="0"/>
    <x v="3"/>
  </r>
  <r>
    <x v="3"/>
    <x v="2"/>
    <x v="2"/>
  </r>
  <r>
    <x v="2"/>
    <x v="1"/>
    <x v="4"/>
  </r>
  <r>
    <x v="3"/>
    <x v="2"/>
    <x v="3"/>
  </r>
  <r>
    <x v="1"/>
    <x v="2"/>
    <x v="1"/>
  </r>
  <r>
    <x v="0"/>
    <x v="0"/>
    <x v="2"/>
  </r>
  <r>
    <x v="2"/>
    <x v="1"/>
    <x v="3"/>
  </r>
  <r>
    <x v="3"/>
    <x v="2"/>
    <x v="4"/>
  </r>
  <r>
    <x v="2"/>
    <x v="1"/>
    <x v="1"/>
  </r>
  <r>
    <x v="0"/>
    <x v="0"/>
    <x v="3"/>
  </r>
  <r>
    <x v="1"/>
    <x v="2"/>
    <x v="0"/>
  </r>
  <r>
    <x v="2"/>
    <x v="1"/>
    <x v="0"/>
  </r>
  <r>
    <x v="2"/>
    <x v="1"/>
    <x v="4"/>
  </r>
  <r>
    <x v="2"/>
    <x v="1"/>
    <x v="1"/>
  </r>
  <r>
    <x v="2"/>
    <x v="1"/>
    <x v="0"/>
  </r>
  <r>
    <x v="2"/>
    <x v="1"/>
    <x v="0"/>
  </r>
  <r>
    <x v="2"/>
    <x v="1"/>
    <x v="1"/>
  </r>
  <r>
    <x v="2"/>
    <x v="1"/>
    <x v="1"/>
  </r>
  <r>
    <x v="3"/>
    <x v="2"/>
    <x v="2"/>
  </r>
  <r>
    <x v="0"/>
    <x v="0"/>
    <x v="3"/>
  </r>
  <r>
    <x v="1"/>
    <x v="2"/>
    <x v="4"/>
  </r>
  <r>
    <x v="0"/>
    <x v="0"/>
    <x v="3"/>
  </r>
  <r>
    <x v="0"/>
    <x v="0"/>
    <x v="0"/>
  </r>
  <r>
    <x v="3"/>
    <x v="2"/>
    <x v="3"/>
  </r>
  <r>
    <x v="3"/>
    <x v="2"/>
    <x v="1"/>
  </r>
  <r>
    <x v="3"/>
    <x v="2"/>
    <x v="0"/>
  </r>
  <r>
    <x v="0"/>
    <x v="0"/>
    <x v="1"/>
  </r>
  <r>
    <x v="2"/>
    <x v="1"/>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m/>
    <d v="2024-01-02T00:00:00"/>
    <s v="CUST021"/>
    <x v="0"/>
    <x v="0"/>
    <x v="0"/>
    <n v="44"/>
    <n v="1"/>
    <x v="0"/>
    <x v="0"/>
    <x v="0"/>
    <s v="DHL"/>
  </r>
  <r>
    <s v="ORD0002"/>
    <x v="1"/>
    <d v="2023-02-24T00:00:00"/>
    <n v="2"/>
    <m/>
    <s v="CUST029"/>
    <x v="1"/>
    <x v="1"/>
    <x v="1"/>
    <n v="96"/>
    <n v="4"/>
    <x v="1"/>
    <x v="1"/>
    <x v="1"/>
    <s v="DHL"/>
  </r>
  <r>
    <s v="ORD0003"/>
    <x v="2"/>
    <m/>
    <m/>
    <m/>
    <s v="CUST021"/>
    <x v="2"/>
    <x v="0"/>
    <x v="2"/>
    <n v="194"/>
    <n v="4"/>
    <x v="2"/>
    <x v="1"/>
    <x v="2"/>
    <s v="USPS"/>
  </r>
  <r>
    <s v="ORD0004"/>
    <x v="3"/>
    <m/>
    <m/>
    <d v="2023-05-11T00:00:00"/>
    <s v="CUST044"/>
    <x v="2"/>
    <x v="0"/>
    <x v="0"/>
    <n v="196"/>
    <n v="3"/>
    <x v="3"/>
    <x v="2"/>
    <x v="0"/>
    <s v="UPS"/>
  </r>
  <r>
    <s v="ORD0005"/>
    <x v="4"/>
    <d v="2023-02-05T00:00:00"/>
    <n v="3"/>
    <m/>
    <s v="CUST027"/>
    <x v="3"/>
    <x v="2"/>
    <x v="0"/>
    <n v="59"/>
    <n v="1"/>
    <x v="4"/>
    <x v="2"/>
    <x v="1"/>
    <s v="Amazon Logistics"/>
  </r>
  <r>
    <s v="ORD0006"/>
    <x v="5"/>
    <m/>
    <m/>
    <d v="2023-11-02T00:00:00"/>
    <s v="CUST009"/>
    <x v="3"/>
    <x v="2"/>
    <x v="0"/>
    <n v="58"/>
    <n v="4"/>
    <x v="5"/>
    <x v="3"/>
    <x v="0"/>
    <s v="DHL"/>
  </r>
  <r>
    <s v="ORD0007"/>
    <x v="6"/>
    <m/>
    <m/>
    <d v="2023-08-18T00:00:00"/>
    <s v="CUST042"/>
    <x v="4"/>
    <x v="3"/>
    <x v="3"/>
    <n v="105"/>
    <n v="3"/>
    <x v="6"/>
    <x v="4"/>
    <x v="0"/>
    <s v="DHL"/>
  </r>
  <r>
    <s v="ORD0008"/>
    <x v="7"/>
    <m/>
    <m/>
    <d v="2023-04-06T00:00:00"/>
    <s v="CUST019"/>
    <x v="5"/>
    <x v="0"/>
    <x v="4"/>
    <n v="37"/>
    <n v="5"/>
    <x v="7"/>
    <x v="2"/>
    <x v="0"/>
    <s v="DHL"/>
  </r>
  <r>
    <s v="ORD0009"/>
    <x v="8"/>
    <m/>
    <m/>
    <m/>
    <s v="CUST013"/>
    <x v="6"/>
    <x v="2"/>
    <x v="3"/>
    <n v="44"/>
    <n v="2"/>
    <x v="8"/>
    <x v="1"/>
    <x v="2"/>
    <s v="Amazon Logistics"/>
  </r>
  <r>
    <s v="ORD0010"/>
    <x v="9"/>
    <m/>
    <m/>
    <m/>
    <s v="CUST019"/>
    <x v="7"/>
    <x v="0"/>
    <x v="2"/>
    <n v="141"/>
    <n v="4"/>
    <x v="9"/>
    <x v="4"/>
    <x v="2"/>
    <s v="DHL"/>
  </r>
  <r>
    <s v="ORD0011"/>
    <x v="10"/>
    <m/>
    <m/>
    <d v="2023-05-08T00:00:00"/>
    <s v="CUST046"/>
    <x v="8"/>
    <x v="3"/>
    <x v="2"/>
    <n v="249"/>
    <n v="1"/>
    <x v="10"/>
    <x v="3"/>
    <x v="0"/>
    <s v="USPS"/>
  </r>
  <r>
    <s v="ORD0012"/>
    <x v="11"/>
    <m/>
    <m/>
    <m/>
    <s v="CUST045"/>
    <x v="8"/>
    <x v="3"/>
    <x v="3"/>
    <n v="247"/>
    <n v="3"/>
    <x v="11"/>
    <x v="3"/>
    <x v="2"/>
    <s v="FedEx"/>
  </r>
  <r>
    <s v="ORD0013"/>
    <x v="12"/>
    <m/>
    <m/>
    <d v="2023-02-28T00:00:00"/>
    <s v="CUST023"/>
    <x v="9"/>
    <x v="2"/>
    <x v="3"/>
    <n v="96"/>
    <n v="1"/>
    <x v="12"/>
    <x v="0"/>
    <x v="0"/>
    <s v="Amazon Logistics"/>
  </r>
  <r>
    <s v="ORD0014"/>
    <x v="13"/>
    <m/>
    <m/>
    <d v="2023-02-25T00:00:00"/>
    <s v="CUST033"/>
    <x v="10"/>
    <x v="3"/>
    <x v="4"/>
    <n v="74"/>
    <n v="5"/>
    <x v="13"/>
    <x v="0"/>
    <x v="0"/>
    <s v="Amazon Logistics"/>
  </r>
  <r>
    <s v="ORD0015"/>
    <x v="14"/>
    <m/>
    <m/>
    <d v="2023-09-02T00:00:00"/>
    <s v="CUST033"/>
    <x v="11"/>
    <x v="2"/>
    <x v="2"/>
    <n v="27"/>
    <n v="1"/>
    <x v="14"/>
    <x v="1"/>
    <x v="0"/>
    <s v="Amazon Logistics"/>
  </r>
  <r>
    <s v="ORD0016"/>
    <x v="15"/>
    <m/>
    <m/>
    <m/>
    <s v="CUST047"/>
    <x v="11"/>
    <x v="2"/>
    <x v="2"/>
    <n v="27"/>
    <n v="3"/>
    <x v="15"/>
    <x v="4"/>
    <x v="2"/>
    <s v="Amazon Logistics"/>
  </r>
  <r>
    <s v="ORD0017"/>
    <x v="16"/>
    <d v="2023-07-01T00:00:00"/>
    <n v="3"/>
    <m/>
    <s v="CUST045"/>
    <x v="12"/>
    <x v="4"/>
    <x v="1"/>
    <n v="21"/>
    <n v="3"/>
    <x v="16"/>
    <x v="1"/>
    <x v="1"/>
    <s v="DHL"/>
  </r>
  <r>
    <s v="ORD0018"/>
    <x v="17"/>
    <m/>
    <m/>
    <m/>
    <s v="CUST011"/>
    <x v="13"/>
    <x v="4"/>
    <x v="4"/>
    <n v="70"/>
    <n v="5"/>
    <x v="17"/>
    <x v="2"/>
    <x v="2"/>
    <s v="Amazon Logistics"/>
  </r>
  <r>
    <s v="ORD0019"/>
    <x v="18"/>
    <m/>
    <m/>
    <m/>
    <s v="CUST041"/>
    <x v="9"/>
    <x v="2"/>
    <x v="2"/>
    <n v="94"/>
    <n v="4"/>
    <x v="18"/>
    <x v="1"/>
    <x v="2"/>
    <s v="USPS"/>
  </r>
  <r>
    <s v="ORD0020"/>
    <x v="19"/>
    <m/>
    <m/>
    <m/>
    <s v="CUST025"/>
    <x v="14"/>
    <x v="3"/>
    <x v="0"/>
    <n v="813"/>
    <n v="2"/>
    <x v="19"/>
    <x v="1"/>
    <x v="2"/>
    <s v="FedEx"/>
  </r>
  <r>
    <s v="ORD0021"/>
    <x v="20"/>
    <m/>
    <m/>
    <m/>
    <s v="CUST013"/>
    <x v="12"/>
    <x v="4"/>
    <x v="3"/>
    <n v="21"/>
    <n v="4"/>
    <x v="20"/>
    <x v="2"/>
    <x v="2"/>
    <s v="Amazon Logistics"/>
  </r>
  <r>
    <s v="ORD0022"/>
    <x v="21"/>
    <m/>
    <m/>
    <m/>
    <s v="CUST023"/>
    <x v="0"/>
    <x v="0"/>
    <x v="4"/>
    <n v="46"/>
    <n v="5"/>
    <x v="21"/>
    <x v="2"/>
    <x v="2"/>
    <s v="USPS"/>
  </r>
  <r>
    <s v="ORD0023"/>
    <x v="15"/>
    <m/>
    <m/>
    <d v="2023-02-14T00:00:00"/>
    <s v="CUST016"/>
    <x v="3"/>
    <x v="2"/>
    <x v="4"/>
    <n v="58"/>
    <n v="3"/>
    <x v="22"/>
    <x v="3"/>
    <x v="0"/>
    <s v="Amazon Logistics"/>
  </r>
  <r>
    <s v="ORD0024"/>
    <x v="22"/>
    <d v="2023-11-05T00:00:00"/>
    <n v="3"/>
    <m/>
    <s v="CUST028"/>
    <x v="9"/>
    <x v="2"/>
    <x v="4"/>
    <n v="96"/>
    <n v="5"/>
    <x v="23"/>
    <x v="3"/>
    <x v="1"/>
    <s v="Amazon Logistics"/>
  </r>
  <r>
    <s v="ORD0025"/>
    <x v="23"/>
    <d v="2023-05-30T00:00:00"/>
    <n v="2"/>
    <m/>
    <s v="CUST040"/>
    <x v="15"/>
    <x v="1"/>
    <x v="2"/>
    <n v="43"/>
    <n v="1"/>
    <x v="24"/>
    <x v="4"/>
    <x v="1"/>
    <s v="Amazon Logistics"/>
  </r>
  <r>
    <s v="ORD0026"/>
    <x v="24"/>
    <d v="2023-10-21T00:00:00"/>
    <n v="6"/>
    <m/>
    <s v="CUST027"/>
    <x v="16"/>
    <x v="2"/>
    <x v="2"/>
    <n v="64"/>
    <n v="4"/>
    <x v="25"/>
    <x v="4"/>
    <x v="1"/>
    <s v="USPS"/>
  </r>
  <r>
    <s v="ORD0027"/>
    <x v="25"/>
    <m/>
    <m/>
    <m/>
    <s v="CUST018"/>
    <x v="13"/>
    <x v="4"/>
    <x v="2"/>
    <n v="70"/>
    <n v="2"/>
    <x v="26"/>
    <x v="3"/>
    <x v="2"/>
    <s v="Amazon Logistics"/>
  </r>
  <r>
    <s v="ORD0028"/>
    <x v="26"/>
    <m/>
    <m/>
    <m/>
    <s v="CUST018"/>
    <x v="1"/>
    <x v="1"/>
    <x v="3"/>
    <n v="97"/>
    <n v="3"/>
    <x v="27"/>
    <x v="1"/>
    <x v="2"/>
    <s v="Amazon Logistics"/>
  </r>
  <r>
    <s v="ORD0029"/>
    <x v="27"/>
    <m/>
    <m/>
    <d v="2023-10-10T00:00:00"/>
    <s v="CUST007"/>
    <x v="5"/>
    <x v="0"/>
    <x v="1"/>
    <n v="37"/>
    <n v="3"/>
    <x v="28"/>
    <x v="0"/>
    <x v="0"/>
    <s v="DHL"/>
  </r>
  <r>
    <s v="ORD0030"/>
    <x v="28"/>
    <m/>
    <m/>
    <m/>
    <s v="CUST008"/>
    <x v="13"/>
    <x v="4"/>
    <x v="0"/>
    <n v="69"/>
    <n v="5"/>
    <x v="29"/>
    <x v="3"/>
    <x v="2"/>
    <s v="Amazon Logistics"/>
  </r>
  <r>
    <s v="ORD0031"/>
    <x v="29"/>
    <m/>
    <m/>
    <m/>
    <s v="CUST014"/>
    <x v="15"/>
    <x v="1"/>
    <x v="0"/>
    <n v="42"/>
    <n v="5"/>
    <x v="30"/>
    <x v="3"/>
    <x v="2"/>
    <s v="UPS"/>
  </r>
  <r>
    <s v="ORD0032"/>
    <x v="30"/>
    <m/>
    <m/>
    <d v="2023-06-22T00:00:00"/>
    <s v="CUST037"/>
    <x v="17"/>
    <x v="4"/>
    <x v="1"/>
    <n v="11"/>
    <n v="5"/>
    <x v="31"/>
    <x v="4"/>
    <x v="0"/>
    <s v="FedEx"/>
  </r>
  <r>
    <s v="ORD0033"/>
    <x v="31"/>
    <d v="2023-05-23T00:00:00"/>
    <n v="1"/>
    <m/>
    <s v="CUST016"/>
    <x v="11"/>
    <x v="2"/>
    <x v="2"/>
    <n v="27"/>
    <n v="2"/>
    <x v="32"/>
    <x v="0"/>
    <x v="1"/>
    <s v="USPS"/>
  </r>
  <r>
    <s v="ORD0034"/>
    <x v="32"/>
    <m/>
    <m/>
    <m/>
    <s v="CUST025"/>
    <x v="12"/>
    <x v="4"/>
    <x v="2"/>
    <n v="21"/>
    <n v="1"/>
    <x v="33"/>
    <x v="3"/>
    <x v="2"/>
    <s v="DHL"/>
  </r>
  <r>
    <s v="ORD0035"/>
    <x v="33"/>
    <d v="2023-12-26T00:00:00"/>
    <n v="4"/>
    <m/>
    <s v="CUST032"/>
    <x v="18"/>
    <x v="3"/>
    <x v="2"/>
    <n v="172"/>
    <n v="1"/>
    <x v="34"/>
    <x v="2"/>
    <x v="1"/>
    <s v="USPS"/>
  </r>
  <r>
    <s v="ORD0036"/>
    <x v="34"/>
    <m/>
    <m/>
    <m/>
    <s v="CUST014"/>
    <x v="19"/>
    <x v="0"/>
    <x v="0"/>
    <n v="212"/>
    <n v="3"/>
    <x v="35"/>
    <x v="3"/>
    <x v="2"/>
    <s v="UPS"/>
  </r>
  <r>
    <s v="ORD0037"/>
    <x v="35"/>
    <d v="2023-10-22T00:00:00"/>
    <n v="5"/>
    <m/>
    <s v="CUST044"/>
    <x v="15"/>
    <x v="1"/>
    <x v="1"/>
    <n v="41"/>
    <n v="4"/>
    <x v="36"/>
    <x v="1"/>
    <x v="1"/>
    <s v="Amazon Logistics"/>
  </r>
  <r>
    <s v="ORD0038"/>
    <x v="36"/>
    <m/>
    <m/>
    <d v="2023-08-24T00:00:00"/>
    <s v="CUST028"/>
    <x v="20"/>
    <x v="1"/>
    <x v="0"/>
    <n v="32"/>
    <n v="2"/>
    <x v="37"/>
    <x v="4"/>
    <x v="0"/>
    <s v="FedEx"/>
  </r>
  <r>
    <s v="ORD0039"/>
    <x v="37"/>
    <m/>
    <m/>
    <m/>
    <s v="CUST024"/>
    <x v="16"/>
    <x v="2"/>
    <x v="1"/>
    <n v="66"/>
    <n v="2"/>
    <x v="38"/>
    <x v="0"/>
    <x v="2"/>
    <s v="DHL"/>
  </r>
  <r>
    <s v="ORD0040"/>
    <x v="38"/>
    <m/>
    <m/>
    <m/>
    <s v="CUST006"/>
    <x v="21"/>
    <x v="1"/>
    <x v="1"/>
    <n v="62"/>
    <n v="4"/>
    <x v="39"/>
    <x v="4"/>
    <x v="2"/>
    <s v="UPS"/>
  </r>
  <r>
    <s v="ORD0041"/>
    <x v="39"/>
    <d v="2023-09-30T00:00:00"/>
    <n v="7"/>
    <m/>
    <s v="CUST001"/>
    <x v="18"/>
    <x v="3"/>
    <x v="4"/>
    <n v="173"/>
    <n v="4"/>
    <x v="40"/>
    <x v="0"/>
    <x v="1"/>
    <s v="UPS"/>
  </r>
  <r>
    <s v="ORD0042"/>
    <x v="40"/>
    <d v="2023-07-18T00:00:00"/>
    <n v="2"/>
    <m/>
    <s v="CUST007"/>
    <x v="21"/>
    <x v="1"/>
    <x v="4"/>
    <n v="63"/>
    <n v="3"/>
    <x v="41"/>
    <x v="0"/>
    <x v="1"/>
    <s v="UPS"/>
  </r>
  <r>
    <s v="ORD0043"/>
    <x v="41"/>
    <m/>
    <m/>
    <d v="2023-02-11T00:00:00"/>
    <s v="CUST040"/>
    <x v="5"/>
    <x v="0"/>
    <x v="4"/>
    <n v="36"/>
    <n v="3"/>
    <x v="42"/>
    <x v="4"/>
    <x v="0"/>
    <s v="USPS"/>
  </r>
  <r>
    <s v="ORD0044"/>
    <x v="42"/>
    <m/>
    <m/>
    <d v="2023-12-23T00:00:00"/>
    <s v="CUST006"/>
    <x v="21"/>
    <x v="1"/>
    <x v="3"/>
    <n v="62"/>
    <n v="1"/>
    <x v="43"/>
    <x v="0"/>
    <x v="0"/>
    <s v="Amazon Logistics"/>
  </r>
  <r>
    <s v="ORD0045"/>
    <x v="43"/>
    <m/>
    <m/>
    <d v="2023-06-14T00:00:00"/>
    <s v="CUST042"/>
    <x v="7"/>
    <x v="0"/>
    <x v="3"/>
    <n v="137"/>
    <n v="5"/>
    <x v="44"/>
    <x v="3"/>
    <x v="0"/>
    <s v="FedEx"/>
  </r>
  <r>
    <s v="ORD0046"/>
    <x v="44"/>
    <d v="2023-12-08T00:00:00"/>
    <n v="4"/>
    <m/>
    <s v="CUST039"/>
    <x v="10"/>
    <x v="3"/>
    <x v="0"/>
    <n v="73"/>
    <n v="4"/>
    <x v="45"/>
    <x v="1"/>
    <x v="1"/>
    <s v="Amazon Logistics"/>
  </r>
  <r>
    <s v="ORD0047"/>
    <x v="45"/>
    <d v="2023-07-19T00:00:00"/>
    <n v="2"/>
    <m/>
    <s v="CUST041"/>
    <x v="4"/>
    <x v="3"/>
    <x v="0"/>
    <n v="104"/>
    <n v="1"/>
    <x v="46"/>
    <x v="2"/>
    <x v="1"/>
    <s v="Amazon Logistics"/>
  </r>
  <r>
    <s v="ORD0048"/>
    <x v="46"/>
    <d v="2023-10-24T00:00:00"/>
    <n v="5"/>
    <m/>
    <s v="CUST044"/>
    <x v="9"/>
    <x v="2"/>
    <x v="1"/>
    <n v="97"/>
    <n v="1"/>
    <x v="47"/>
    <x v="3"/>
    <x v="1"/>
    <s v="FedEx"/>
  </r>
  <r>
    <s v="ORD0049"/>
    <x v="47"/>
    <m/>
    <m/>
    <m/>
    <s v="CUST026"/>
    <x v="10"/>
    <x v="3"/>
    <x v="2"/>
    <n v="73"/>
    <n v="5"/>
    <x v="48"/>
    <x v="0"/>
    <x v="2"/>
    <s v="Amazon Logistics"/>
  </r>
  <r>
    <s v="ORD0050"/>
    <x v="48"/>
    <d v="2023-02-19T00:00:00"/>
    <n v="7"/>
    <m/>
    <s v="CUST040"/>
    <x v="11"/>
    <x v="2"/>
    <x v="1"/>
    <n v="27"/>
    <n v="3"/>
    <x v="15"/>
    <x v="3"/>
    <x v="1"/>
    <s v="UPS"/>
  </r>
  <r>
    <s v="ORD0051"/>
    <x v="20"/>
    <m/>
    <m/>
    <m/>
    <s v="CUST041"/>
    <x v="5"/>
    <x v="0"/>
    <x v="0"/>
    <n v="37"/>
    <n v="1"/>
    <x v="49"/>
    <x v="0"/>
    <x v="2"/>
    <s v="UPS"/>
  </r>
  <r>
    <s v="ORD0052"/>
    <x v="49"/>
    <d v="2023-02-01T00:00:00"/>
    <n v="2"/>
    <m/>
    <s v="CUST008"/>
    <x v="12"/>
    <x v="4"/>
    <x v="0"/>
    <n v="22"/>
    <n v="1"/>
    <x v="50"/>
    <x v="4"/>
    <x v="1"/>
    <s v="FedEx"/>
  </r>
  <r>
    <s v="ORD0053"/>
    <x v="9"/>
    <d v="2024-01-01T00:00:00"/>
    <n v="3"/>
    <m/>
    <s v="CUST011"/>
    <x v="19"/>
    <x v="0"/>
    <x v="3"/>
    <n v="218"/>
    <n v="5"/>
    <x v="51"/>
    <x v="2"/>
    <x v="1"/>
    <s v="DHL"/>
  </r>
  <r>
    <s v="ORD0054"/>
    <x v="50"/>
    <m/>
    <m/>
    <d v="2023-03-13T00:00:00"/>
    <s v="CUST018"/>
    <x v="21"/>
    <x v="1"/>
    <x v="0"/>
    <n v="64"/>
    <n v="1"/>
    <x v="37"/>
    <x v="0"/>
    <x v="0"/>
    <s v="USPS"/>
  </r>
  <r>
    <s v="ORD0055"/>
    <x v="4"/>
    <d v="2023-02-06T00:00:00"/>
    <n v="4"/>
    <m/>
    <s v="CUST037"/>
    <x v="5"/>
    <x v="0"/>
    <x v="3"/>
    <n v="36"/>
    <n v="4"/>
    <x v="52"/>
    <x v="2"/>
    <x v="1"/>
    <s v="Amazon Logistics"/>
  </r>
  <r>
    <s v="ORD0056"/>
    <x v="51"/>
    <d v="2023-10-21T00:00:00"/>
    <n v="3"/>
    <m/>
    <s v="CUST017"/>
    <x v="21"/>
    <x v="1"/>
    <x v="4"/>
    <n v="65"/>
    <n v="1"/>
    <x v="53"/>
    <x v="3"/>
    <x v="1"/>
    <s v="FedEx"/>
  </r>
  <r>
    <s v="ORD0057"/>
    <x v="52"/>
    <d v="2023-01-09T00:00:00"/>
    <n v="2"/>
    <m/>
    <s v="CUST025"/>
    <x v="11"/>
    <x v="2"/>
    <x v="3"/>
    <n v="26"/>
    <n v="1"/>
    <x v="54"/>
    <x v="0"/>
    <x v="1"/>
    <s v="DHL"/>
  </r>
  <r>
    <s v="ORD0058"/>
    <x v="53"/>
    <m/>
    <m/>
    <m/>
    <s v="CUST021"/>
    <x v="17"/>
    <x v="4"/>
    <x v="0"/>
    <n v="11"/>
    <n v="5"/>
    <x v="31"/>
    <x v="1"/>
    <x v="2"/>
    <s v="FedEx"/>
  </r>
  <r>
    <s v="ORD0059"/>
    <x v="54"/>
    <m/>
    <m/>
    <d v="2023-04-05T00:00:00"/>
    <s v="CUST003"/>
    <x v="2"/>
    <x v="0"/>
    <x v="0"/>
    <n v="195"/>
    <n v="4"/>
    <x v="55"/>
    <x v="2"/>
    <x v="0"/>
    <s v="FedEx"/>
  </r>
  <r>
    <s v="ORD0060"/>
    <x v="2"/>
    <m/>
    <m/>
    <d v="2023-10-12T00:00:00"/>
    <s v="CUST019"/>
    <x v="6"/>
    <x v="2"/>
    <x v="4"/>
    <n v="44"/>
    <n v="5"/>
    <x v="56"/>
    <x v="0"/>
    <x v="0"/>
    <s v="USPS"/>
  </r>
  <r>
    <s v="ORD0061"/>
    <x v="55"/>
    <m/>
    <m/>
    <m/>
    <s v="CUST035"/>
    <x v="13"/>
    <x v="4"/>
    <x v="1"/>
    <n v="69"/>
    <n v="4"/>
    <x v="57"/>
    <x v="4"/>
    <x v="2"/>
    <s v="DHL"/>
  </r>
  <r>
    <s v="ORD0062"/>
    <x v="56"/>
    <d v="2023-11-29T00:00:00"/>
    <n v="7"/>
    <m/>
    <s v="CUST022"/>
    <x v="14"/>
    <x v="3"/>
    <x v="0"/>
    <n v="815"/>
    <n v="4"/>
    <x v="58"/>
    <x v="1"/>
    <x v="1"/>
    <s v="USPS"/>
  </r>
  <r>
    <s v="ORD0063"/>
    <x v="57"/>
    <m/>
    <m/>
    <m/>
    <s v="CUST004"/>
    <x v="11"/>
    <x v="2"/>
    <x v="1"/>
    <n v="27"/>
    <n v="1"/>
    <x v="14"/>
    <x v="4"/>
    <x v="2"/>
    <s v="Amazon Logistics"/>
  </r>
  <r>
    <s v="ORD0064"/>
    <x v="38"/>
    <d v="2023-12-29T00:00:00"/>
    <n v="4"/>
    <m/>
    <s v="CUST048"/>
    <x v="7"/>
    <x v="0"/>
    <x v="4"/>
    <n v="139"/>
    <n v="5"/>
    <x v="59"/>
    <x v="0"/>
    <x v="1"/>
    <s v="USPS"/>
  </r>
  <r>
    <s v="ORD0065"/>
    <x v="51"/>
    <m/>
    <m/>
    <d v="2023-10-20T00:00:00"/>
    <s v="CUST009"/>
    <x v="13"/>
    <x v="4"/>
    <x v="2"/>
    <n v="69"/>
    <n v="3"/>
    <x v="60"/>
    <x v="2"/>
    <x v="0"/>
    <s v="Amazon Logistics"/>
  </r>
  <r>
    <s v="ORD0066"/>
    <x v="58"/>
    <m/>
    <m/>
    <d v="2023-05-21T00:00:00"/>
    <s v="CUST009"/>
    <x v="6"/>
    <x v="2"/>
    <x v="4"/>
    <n v="42"/>
    <n v="1"/>
    <x v="61"/>
    <x v="0"/>
    <x v="0"/>
    <s v="DHL"/>
  </r>
  <r>
    <s v="ORD0067"/>
    <x v="59"/>
    <d v="2023-07-30T00:00:00"/>
    <n v="2"/>
    <m/>
    <s v="CUST050"/>
    <x v="20"/>
    <x v="1"/>
    <x v="0"/>
    <n v="31"/>
    <n v="4"/>
    <x v="62"/>
    <x v="1"/>
    <x v="1"/>
    <s v="UPS"/>
  </r>
  <r>
    <s v="ORD0068"/>
    <x v="42"/>
    <m/>
    <m/>
    <m/>
    <s v="CUST045"/>
    <x v="4"/>
    <x v="3"/>
    <x v="4"/>
    <n v="104"/>
    <n v="3"/>
    <x v="63"/>
    <x v="1"/>
    <x v="2"/>
    <s v="UPS"/>
  </r>
  <r>
    <s v="ORD0069"/>
    <x v="60"/>
    <m/>
    <m/>
    <d v="2023-07-07T00:00:00"/>
    <s v="CUST044"/>
    <x v="3"/>
    <x v="2"/>
    <x v="1"/>
    <n v="58"/>
    <n v="2"/>
    <x v="64"/>
    <x v="0"/>
    <x v="0"/>
    <s v="USPS"/>
  </r>
  <r>
    <s v="ORD0070"/>
    <x v="26"/>
    <m/>
    <m/>
    <d v="2023-10-10T00:00:00"/>
    <s v="CUST009"/>
    <x v="21"/>
    <x v="1"/>
    <x v="4"/>
    <n v="62"/>
    <n v="2"/>
    <x v="62"/>
    <x v="4"/>
    <x v="0"/>
    <s v="DHL"/>
  </r>
  <r>
    <s v="ORD0071"/>
    <x v="42"/>
    <d v="2023-12-25T00:00:00"/>
    <n v="7"/>
    <m/>
    <s v="CUST006"/>
    <x v="6"/>
    <x v="2"/>
    <x v="1"/>
    <n v="43"/>
    <n v="1"/>
    <x v="24"/>
    <x v="1"/>
    <x v="1"/>
    <s v="Amazon Logistics"/>
  </r>
  <r>
    <s v="ORD0072"/>
    <x v="61"/>
    <m/>
    <m/>
    <m/>
    <s v="CUST022"/>
    <x v="21"/>
    <x v="1"/>
    <x v="1"/>
    <n v="62"/>
    <n v="4"/>
    <x v="39"/>
    <x v="4"/>
    <x v="2"/>
    <s v="Amazon Logistics"/>
  </r>
  <r>
    <s v="ORD0073"/>
    <x v="62"/>
    <m/>
    <m/>
    <d v="2023-07-25T00:00:00"/>
    <s v="CUST028"/>
    <x v="9"/>
    <x v="2"/>
    <x v="0"/>
    <n v="95"/>
    <n v="2"/>
    <x v="65"/>
    <x v="2"/>
    <x v="0"/>
    <s v="UPS"/>
  </r>
  <r>
    <s v="ORD0074"/>
    <x v="63"/>
    <d v="2023-01-24T00:00:00"/>
    <n v="6"/>
    <m/>
    <s v="CUST016"/>
    <x v="5"/>
    <x v="0"/>
    <x v="3"/>
    <n v="36"/>
    <n v="4"/>
    <x v="52"/>
    <x v="0"/>
    <x v="1"/>
    <s v="FedEx"/>
  </r>
  <r>
    <s v="ORD0075"/>
    <x v="64"/>
    <m/>
    <m/>
    <m/>
    <s v="CUST042"/>
    <x v="10"/>
    <x v="3"/>
    <x v="1"/>
    <n v="73"/>
    <n v="5"/>
    <x v="48"/>
    <x v="0"/>
    <x v="2"/>
    <s v="DHL"/>
  </r>
  <r>
    <s v="ORD0076"/>
    <x v="65"/>
    <d v="2023-09-09T00:00:00"/>
    <n v="6"/>
    <m/>
    <s v="CUST023"/>
    <x v="6"/>
    <x v="2"/>
    <x v="0"/>
    <n v="43"/>
    <n v="4"/>
    <x v="34"/>
    <x v="4"/>
    <x v="1"/>
    <s v="DHL"/>
  </r>
  <r>
    <s v="ORD0077"/>
    <x v="22"/>
    <d v="2023-11-04T00:00:00"/>
    <n v="2"/>
    <m/>
    <s v="CUST004"/>
    <x v="19"/>
    <x v="0"/>
    <x v="4"/>
    <n v="214"/>
    <n v="5"/>
    <x v="66"/>
    <x v="4"/>
    <x v="1"/>
    <s v="UPS"/>
  </r>
  <r>
    <s v="ORD0078"/>
    <x v="66"/>
    <m/>
    <m/>
    <d v="2023-12-06T00:00:00"/>
    <s v="CUST048"/>
    <x v="15"/>
    <x v="1"/>
    <x v="3"/>
    <n v="42"/>
    <n v="2"/>
    <x v="20"/>
    <x v="0"/>
    <x v="0"/>
    <s v="UPS"/>
  </r>
  <r>
    <s v="ORD0079"/>
    <x v="7"/>
    <m/>
    <m/>
    <m/>
    <s v="CUST048"/>
    <x v="0"/>
    <x v="0"/>
    <x v="0"/>
    <n v="46"/>
    <n v="1"/>
    <x v="67"/>
    <x v="3"/>
    <x v="2"/>
    <s v="UPS"/>
  </r>
  <r>
    <s v="ORD0080"/>
    <x v="67"/>
    <d v="2023-10-19T00:00:00"/>
    <n v="3"/>
    <m/>
    <s v="CUST032"/>
    <x v="1"/>
    <x v="1"/>
    <x v="1"/>
    <n v="95"/>
    <n v="4"/>
    <x v="68"/>
    <x v="1"/>
    <x v="1"/>
    <s v="UPS"/>
  </r>
  <r>
    <s v="ORD0081"/>
    <x v="68"/>
    <m/>
    <m/>
    <m/>
    <s v="CUST001"/>
    <x v="18"/>
    <x v="3"/>
    <x v="4"/>
    <n v="174"/>
    <n v="2"/>
    <x v="69"/>
    <x v="2"/>
    <x v="2"/>
    <s v="UPS"/>
  </r>
  <r>
    <s v="ORD0082"/>
    <x v="30"/>
    <m/>
    <m/>
    <d v="2023-06-18T00:00:00"/>
    <s v="CUST046"/>
    <x v="11"/>
    <x v="2"/>
    <x v="0"/>
    <n v="27"/>
    <n v="5"/>
    <x v="70"/>
    <x v="1"/>
    <x v="0"/>
    <s v="Amazon Logistics"/>
  </r>
  <r>
    <s v="ORD0083"/>
    <x v="69"/>
    <d v="2023-10-30T00:00:00"/>
    <n v="2"/>
    <m/>
    <s v="CUST021"/>
    <x v="11"/>
    <x v="2"/>
    <x v="2"/>
    <n v="27"/>
    <n v="4"/>
    <x v="42"/>
    <x v="2"/>
    <x v="1"/>
    <s v="USPS"/>
  </r>
  <r>
    <s v="ORD0084"/>
    <x v="33"/>
    <m/>
    <m/>
    <m/>
    <s v="CUST015"/>
    <x v="16"/>
    <x v="2"/>
    <x v="2"/>
    <n v="65"/>
    <n v="2"/>
    <x v="71"/>
    <x v="2"/>
    <x v="2"/>
    <s v="DHL"/>
  </r>
  <r>
    <s v="ORD0085"/>
    <x v="61"/>
    <m/>
    <m/>
    <m/>
    <s v="CUST045"/>
    <x v="6"/>
    <x v="2"/>
    <x v="1"/>
    <n v="43"/>
    <n v="5"/>
    <x v="72"/>
    <x v="4"/>
    <x v="2"/>
    <s v="DHL"/>
  </r>
  <r>
    <s v="ORD0086"/>
    <x v="70"/>
    <m/>
    <m/>
    <m/>
    <s v="CUST007"/>
    <x v="19"/>
    <x v="0"/>
    <x v="4"/>
    <n v="210"/>
    <n v="1"/>
    <x v="30"/>
    <x v="2"/>
    <x v="2"/>
    <s v="UPS"/>
  </r>
  <r>
    <s v="ORD0087"/>
    <x v="56"/>
    <m/>
    <m/>
    <m/>
    <s v="CUST043"/>
    <x v="5"/>
    <x v="0"/>
    <x v="2"/>
    <n v="37"/>
    <n v="3"/>
    <x v="28"/>
    <x v="1"/>
    <x v="2"/>
    <s v="UPS"/>
  </r>
  <r>
    <s v="ORD0088"/>
    <x v="53"/>
    <m/>
    <m/>
    <m/>
    <s v="CUST007"/>
    <x v="14"/>
    <x v="3"/>
    <x v="2"/>
    <n v="788"/>
    <n v="4"/>
    <x v="73"/>
    <x v="4"/>
    <x v="2"/>
    <s v="Amazon Logistics"/>
  </r>
  <r>
    <s v="ORD0089"/>
    <x v="71"/>
    <m/>
    <m/>
    <m/>
    <s v="CUST007"/>
    <x v="19"/>
    <x v="0"/>
    <x v="4"/>
    <n v="217"/>
    <n v="5"/>
    <x v="74"/>
    <x v="4"/>
    <x v="2"/>
    <s v="FedEx"/>
  </r>
  <r>
    <s v="ORD0090"/>
    <x v="63"/>
    <m/>
    <m/>
    <m/>
    <s v="CUST007"/>
    <x v="7"/>
    <x v="0"/>
    <x v="4"/>
    <n v="138"/>
    <n v="4"/>
    <x v="75"/>
    <x v="1"/>
    <x v="2"/>
    <s v="FedEx"/>
  </r>
  <r>
    <s v="ORD0091"/>
    <x v="72"/>
    <d v="2023-06-29T00:00:00"/>
    <n v="6"/>
    <m/>
    <s v="CUST031"/>
    <x v="14"/>
    <x v="3"/>
    <x v="3"/>
    <n v="803"/>
    <n v="2"/>
    <x v="76"/>
    <x v="0"/>
    <x v="1"/>
    <s v="FedEx"/>
  </r>
  <r>
    <s v="ORD0092"/>
    <x v="73"/>
    <m/>
    <m/>
    <d v="2023-02-25T00:00:00"/>
    <s v="CUST013"/>
    <x v="8"/>
    <x v="3"/>
    <x v="0"/>
    <n v="248"/>
    <n v="5"/>
    <x v="77"/>
    <x v="2"/>
    <x v="0"/>
    <s v="UPS"/>
  </r>
  <r>
    <s v="ORD0093"/>
    <x v="74"/>
    <d v="2023-02-21T00:00:00"/>
    <n v="2"/>
    <m/>
    <s v="CUST036"/>
    <x v="19"/>
    <x v="0"/>
    <x v="1"/>
    <n v="210"/>
    <n v="3"/>
    <x v="78"/>
    <x v="0"/>
    <x v="1"/>
    <s v="DHL"/>
  </r>
  <r>
    <s v="ORD0094"/>
    <x v="75"/>
    <m/>
    <m/>
    <d v="2023-12-12T00:00:00"/>
    <s v="CUST013"/>
    <x v="21"/>
    <x v="1"/>
    <x v="0"/>
    <n v="62"/>
    <n v="2"/>
    <x v="62"/>
    <x v="1"/>
    <x v="0"/>
    <s v="FedEx"/>
  </r>
  <r>
    <s v="ORD0095"/>
    <x v="76"/>
    <m/>
    <m/>
    <d v="2023-06-12T00:00:00"/>
    <s v="CUST043"/>
    <x v="17"/>
    <x v="4"/>
    <x v="2"/>
    <n v="11"/>
    <n v="5"/>
    <x v="31"/>
    <x v="4"/>
    <x v="0"/>
    <s v="Amazon Logistics"/>
  </r>
  <r>
    <s v="ORD0096"/>
    <x v="77"/>
    <d v="2023-07-12T00:00:00"/>
    <n v="3"/>
    <m/>
    <s v="CUST017"/>
    <x v="12"/>
    <x v="4"/>
    <x v="0"/>
    <n v="21"/>
    <n v="2"/>
    <x v="61"/>
    <x v="3"/>
    <x v="1"/>
    <s v="UPS"/>
  </r>
  <r>
    <s v="ORD0097"/>
    <x v="78"/>
    <d v="2023-12-26T00:00:00"/>
    <n v="3"/>
    <m/>
    <s v="CUST023"/>
    <x v="1"/>
    <x v="1"/>
    <x v="4"/>
    <n v="95"/>
    <n v="5"/>
    <x v="79"/>
    <x v="3"/>
    <x v="1"/>
    <s v="Amazon Logistics"/>
  </r>
  <r>
    <s v="ORD0098"/>
    <x v="79"/>
    <d v="2023-09-30T00:00:00"/>
    <n v="5"/>
    <m/>
    <s v="CUST044"/>
    <x v="19"/>
    <x v="0"/>
    <x v="2"/>
    <n v="215"/>
    <n v="2"/>
    <x v="80"/>
    <x v="2"/>
    <x v="1"/>
    <s v="Amazon Logistics"/>
  </r>
  <r>
    <s v="ORD0099"/>
    <x v="63"/>
    <m/>
    <m/>
    <d v="2023-01-24T00:00:00"/>
    <s v="CUST034"/>
    <x v="6"/>
    <x v="2"/>
    <x v="4"/>
    <n v="43"/>
    <n v="5"/>
    <x v="72"/>
    <x v="1"/>
    <x v="0"/>
    <s v="UPS"/>
  </r>
  <r>
    <s v="ORD0100"/>
    <x v="80"/>
    <m/>
    <m/>
    <m/>
    <s v="CUST009"/>
    <x v="15"/>
    <x v="1"/>
    <x v="4"/>
    <n v="42"/>
    <n v="4"/>
    <x v="81"/>
    <x v="4"/>
    <x v="2"/>
    <s v="DH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4FFF0-5644-477B-87F8-F02D9BEE02A7}"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J8" firstHeaderRow="1" firstDataRow="2" firstDataCol="1"/>
  <pivotFields count="3">
    <pivotField showAll="0">
      <items count="5">
        <item x="0"/>
        <item x="1"/>
        <item x="2"/>
        <item x="3"/>
        <item t="default"/>
      </items>
    </pivotField>
    <pivotField axis="axisCol" dataField="1" showAll="0">
      <items count="4">
        <item x="0"/>
        <item h="1" x="2"/>
        <item h="1" x="1"/>
        <item t="default"/>
      </items>
    </pivotField>
    <pivotField axis="axisRow" showAll="0">
      <items count="6">
        <item x="2"/>
        <item x="4"/>
        <item x="3"/>
        <item x="0"/>
        <item x="1"/>
        <item t="default"/>
      </items>
    </pivotField>
  </pivotFields>
  <rowFields count="1">
    <field x="2"/>
  </rowFields>
  <rowItems count="6">
    <i>
      <x/>
    </i>
    <i>
      <x v="1"/>
    </i>
    <i>
      <x v="2"/>
    </i>
    <i>
      <x v="3"/>
    </i>
    <i>
      <x v="4"/>
    </i>
    <i t="grand">
      <x/>
    </i>
  </rowItems>
  <colFields count="1">
    <field x="1"/>
  </colFields>
  <colItems count="2">
    <i>
      <x/>
    </i>
    <i t="grand">
      <x/>
    </i>
  </colItems>
  <dataFields count="1">
    <dataField name="Count of Delivery Status" fld="1" subtotal="count" baseField="2" baseItem="0"/>
  </dataFields>
  <formats count="10">
    <format dxfId="42">
      <pivotArea type="all" dataOnly="0" outline="0" fieldPosition="0"/>
    </format>
    <format dxfId="41">
      <pivotArea outline="0" collapsedLevelsAreSubtotals="1" fieldPosition="0"/>
    </format>
    <format dxfId="40">
      <pivotArea type="origin" dataOnly="0" labelOnly="1" outline="0" fieldPosition="0"/>
    </format>
    <format dxfId="39">
      <pivotArea field="1" type="button" dataOnly="0" labelOnly="1" outline="0" axis="axisCol" fieldPosition="0"/>
    </format>
    <format dxfId="38">
      <pivotArea type="topRight" dataOnly="0" labelOnly="1" outline="0"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fieldPosition="0">
        <references count="1">
          <reference field="1" count="0"/>
        </references>
      </pivotArea>
    </format>
    <format dxfId="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C382F-BD93-4F6E-BE76-31C0E176445B}" name="PivotTable1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3:T7" firstHeaderRow="1" firstDataRow="1" firstDataCol="1"/>
  <pivotFields count="2">
    <pivotField axis="axisRow" showAll="0" measureFilter="1">
      <items count="6">
        <item x="3"/>
        <item x="1"/>
        <item x="0"/>
        <item x="2"/>
        <item x="4"/>
        <item t="default"/>
      </items>
    </pivotField>
    <pivotField dataField="1" numFmtId="1" multipleItemSelectionAllowed="1"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s>
  <rowFields count="1">
    <field x="0"/>
  </rowFields>
  <rowItems count="4">
    <i>
      <x v="2"/>
    </i>
    <i>
      <x v="3"/>
    </i>
    <i>
      <x v="4"/>
    </i>
    <i t="grand">
      <x/>
    </i>
  </rowItems>
  <colItems count="1">
    <i/>
  </colItems>
  <dataFields count="1">
    <dataField name="Sum of Total Amount" fld="1" baseField="0" baseItem="0" numFmtId="1"/>
  </dataFields>
  <formats count="6">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3">
            <x v="2"/>
            <x v="3"/>
            <x v="4"/>
          </reference>
        </references>
      </pivotArea>
    </format>
    <format dxfId="44">
      <pivotArea dataOnly="0" labelOnly="1" grandRow="1" outline="0" fieldPosition="0"/>
    </format>
    <format dxfId="4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FFD8B1-4651-4CEC-9E60-3F66C1BACC4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K10" firstHeaderRow="1" firstDataRow="2" firstDataCol="1"/>
  <pivotFields count="3">
    <pivotField axis="axisRow" showAll="0">
      <items count="6">
        <item x="3"/>
        <item x="1"/>
        <item x="0"/>
        <item x="2"/>
        <item x="4"/>
        <item t="default"/>
      </items>
    </pivotField>
    <pivotField axis="axisCol" showAll="0">
      <items count="6">
        <item x="4"/>
        <item x="3"/>
        <item x="2"/>
        <item x="0"/>
        <item x="1"/>
        <item t="default"/>
      </items>
    </pivotField>
    <pivotField dataField="1" numFmtId="1" showAll="0"/>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Total Amount" fld="2" baseField="0" baseItem="0" numFmtId="1"/>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DEF66D-6E99-4A68-8238-C13B35017FA3}"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M10" firstHeaderRow="1" firstDataRow="2" firstDataCol="1"/>
  <pivotFields count="3">
    <pivotField axis="axisRow" showAll="0">
      <items count="6">
        <item x="4"/>
        <item x="3"/>
        <item x="2"/>
        <item x="0"/>
        <item x="1"/>
        <item t="default"/>
      </items>
    </pivotField>
    <pivotField axis="axisCol" showAll="0">
      <items count="6">
        <item x="3"/>
        <item x="0"/>
        <item x="1"/>
        <item x="4"/>
        <item x="2"/>
        <item t="default"/>
      </items>
    </pivotField>
    <pivotField dataField="1" numFmtId="1" showAll="0"/>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Total Amount" fld="2" baseField="0" baseItem="0" numFmtId="1"/>
  </dataFields>
  <formats count="10">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1" count="0"/>
        </references>
      </pivotArea>
    </format>
    <format dxfId="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CC0776-EF27-4743-8910-F977E67977B3}"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AA6" firstHeaderRow="1" firstDataRow="1" firstDataCol="0"/>
  <pivotFields count="1">
    <pivotField dataField="1" showAll="0">
      <items count="9">
        <item x="4"/>
        <item x="1"/>
        <item x="2"/>
        <item x="5"/>
        <item x="6"/>
        <item x="3"/>
        <item x="7"/>
        <item x="0"/>
        <item t="default"/>
      </items>
    </pivotField>
  </pivotFields>
  <rowItems count="1">
    <i/>
  </rowItems>
  <colItems count="1">
    <i/>
  </colItems>
  <dataFields count="1">
    <dataField name="Average of Average Delivery Time " fld="0" subtotal="average" baseField="0" baseItem="0"/>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3A33F-1290-4A7D-A1A6-A9BAA456FB6C}"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W8" firstHeaderRow="1" firstDataRow="2" firstDataCol="1"/>
  <pivotFields count="3">
    <pivotField axis="axisCol" showAll="0">
      <items count="6">
        <item x="4"/>
        <item x="3"/>
        <item x="2"/>
        <item x="0"/>
        <item x="1"/>
        <item t="default"/>
      </items>
    </pivotField>
    <pivotField axis="axisRow" showAll="0">
      <items count="4">
        <item x="0"/>
        <item x="1"/>
        <item x="2"/>
        <item t="default"/>
      </items>
    </pivotField>
    <pivotField dataField="1" numFmtId="1" showAll="0"/>
  </pivotFields>
  <rowFields count="1">
    <field x="1"/>
  </rowFields>
  <rowItems count="4">
    <i>
      <x/>
    </i>
    <i>
      <x v="1"/>
    </i>
    <i>
      <x v="2"/>
    </i>
    <i t="grand">
      <x/>
    </i>
  </rowItems>
  <colFields count="1">
    <field x="0"/>
  </colFields>
  <colItems count="6">
    <i>
      <x/>
    </i>
    <i>
      <x v="1"/>
    </i>
    <i>
      <x v="2"/>
    </i>
    <i>
      <x v="3"/>
    </i>
    <i>
      <x v="4"/>
    </i>
    <i t="grand">
      <x/>
    </i>
  </colItems>
  <dataFields count="1">
    <dataField name="Count of Order by Delivery Status" fld="2" baseField="1" baseItem="0" numFmtId="1"/>
  </dataFields>
  <formats count="10">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fieldPosition="0">
        <references count="1">
          <reference field="0" count="0"/>
        </references>
      </pivotArea>
    </format>
    <format dxfId="2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6FE8D6-B317-421E-8E1A-816E78AA97F9}" name="PivotTable2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T1:AU12" firstHeaderRow="1" firstDataRow="1" firstDataCol="1"/>
  <pivotFields count="17">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measureFilter="1">
      <items count="23">
        <item x="14"/>
        <item x="15"/>
        <item x="7"/>
        <item x="21"/>
        <item x="11"/>
        <item x="9"/>
        <item x="20"/>
        <item x="13"/>
        <item x="17"/>
        <item x="3"/>
        <item x="18"/>
        <item x="0"/>
        <item x="2"/>
        <item x="8"/>
        <item x="12"/>
        <item x="19"/>
        <item x="10"/>
        <item x="1"/>
        <item x="6"/>
        <item x="4"/>
        <item x="5"/>
        <item x="16"/>
        <item t="default"/>
      </items>
    </pivotField>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i>
    <i>
      <x v="2"/>
    </i>
    <i>
      <x v="5"/>
    </i>
    <i>
      <x v="7"/>
    </i>
    <i>
      <x v="10"/>
    </i>
    <i>
      <x v="12"/>
    </i>
    <i>
      <x v="13"/>
    </i>
    <i>
      <x v="15"/>
    </i>
    <i>
      <x v="16"/>
    </i>
    <i>
      <x v="17"/>
    </i>
    <i t="grand">
      <x/>
    </i>
  </rowItems>
  <colItems count="1">
    <i/>
  </colItems>
  <dataFields count="1">
    <dataField name="Sum of Total Amount" fld="11" baseField="0" baseItem="0" numFmtId="1"/>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5"/>
          </reference>
        </references>
      </pivotArea>
    </chartFormat>
    <chartFormat chart="0" format="4">
      <pivotArea type="data" outline="0" fieldPosition="0">
        <references count="2">
          <reference field="4294967294" count="1" selected="0">
            <x v="0"/>
          </reference>
          <reference field="6" count="1" selected="0">
            <x v="7"/>
          </reference>
        </references>
      </pivotArea>
    </chartFormat>
    <chartFormat chart="0" format="5">
      <pivotArea type="data" outline="0" fieldPosition="0">
        <references count="2">
          <reference field="4294967294" count="1" selected="0">
            <x v="0"/>
          </reference>
          <reference field="6" count="1" selected="0">
            <x v="10"/>
          </reference>
        </references>
      </pivotArea>
    </chartFormat>
    <chartFormat chart="0" format="6">
      <pivotArea type="data" outline="0" fieldPosition="0">
        <references count="2">
          <reference field="4294967294" count="1" selected="0">
            <x v="0"/>
          </reference>
          <reference field="6" count="1" selected="0">
            <x v="12"/>
          </reference>
        </references>
      </pivotArea>
    </chartFormat>
    <chartFormat chart="0" format="7">
      <pivotArea type="data" outline="0" fieldPosition="0">
        <references count="2">
          <reference field="4294967294" count="1" selected="0">
            <x v="0"/>
          </reference>
          <reference field="6" count="1" selected="0">
            <x v="13"/>
          </reference>
        </references>
      </pivotArea>
    </chartFormat>
    <chartFormat chart="0" format="8">
      <pivotArea type="data" outline="0" fieldPosition="0">
        <references count="2">
          <reference field="4294967294" count="1" selected="0">
            <x v="0"/>
          </reference>
          <reference field="6" count="1" selected="0">
            <x v="15"/>
          </reference>
        </references>
      </pivotArea>
    </chartFormat>
    <chartFormat chart="0" format="9">
      <pivotArea type="data" outline="0" fieldPosition="0">
        <references count="2">
          <reference field="4294967294" count="1" selected="0">
            <x v="0"/>
          </reference>
          <reference field="6" count="1" selected="0">
            <x v="16"/>
          </reference>
        </references>
      </pivotArea>
    </chartFormat>
    <chartFormat chart="0" format="10">
      <pivotArea type="data" outline="0" fieldPosition="0">
        <references count="2">
          <reference field="4294967294" count="1" selected="0">
            <x v="0"/>
          </reference>
          <reference field="6" count="1" selected="0">
            <x v="17"/>
          </reference>
        </references>
      </pivotArea>
    </chartFormat>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6" count="1" selected="0">
            <x v="0"/>
          </reference>
        </references>
      </pivotArea>
    </chartFormat>
    <chartFormat chart="12" format="24">
      <pivotArea type="data" outline="0" fieldPosition="0">
        <references count="2">
          <reference field="4294967294" count="1" selected="0">
            <x v="0"/>
          </reference>
          <reference field="6" count="1" selected="0">
            <x v="2"/>
          </reference>
        </references>
      </pivotArea>
    </chartFormat>
    <chartFormat chart="12" format="25">
      <pivotArea type="data" outline="0" fieldPosition="0">
        <references count="2">
          <reference field="4294967294" count="1" selected="0">
            <x v="0"/>
          </reference>
          <reference field="6" count="1" selected="0">
            <x v="5"/>
          </reference>
        </references>
      </pivotArea>
    </chartFormat>
    <chartFormat chart="12" format="26">
      <pivotArea type="data" outline="0" fieldPosition="0">
        <references count="2">
          <reference field="4294967294" count="1" selected="0">
            <x v="0"/>
          </reference>
          <reference field="6" count="1" selected="0">
            <x v="7"/>
          </reference>
        </references>
      </pivotArea>
    </chartFormat>
    <chartFormat chart="12" format="27">
      <pivotArea type="data" outline="0" fieldPosition="0">
        <references count="2">
          <reference field="4294967294" count="1" selected="0">
            <x v="0"/>
          </reference>
          <reference field="6" count="1" selected="0">
            <x v="10"/>
          </reference>
        </references>
      </pivotArea>
    </chartFormat>
    <chartFormat chart="12" format="28">
      <pivotArea type="data" outline="0" fieldPosition="0">
        <references count="2">
          <reference field="4294967294" count="1" selected="0">
            <x v="0"/>
          </reference>
          <reference field="6" count="1" selected="0">
            <x v="12"/>
          </reference>
        </references>
      </pivotArea>
    </chartFormat>
    <chartFormat chart="12" format="29">
      <pivotArea type="data" outline="0" fieldPosition="0">
        <references count="2">
          <reference field="4294967294" count="1" selected="0">
            <x v="0"/>
          </reference>
          <reference field="6" count="1" selected="0">
            <x v="13"/>
          </reference>
        </references>
      </pivotArea>
    </chartFormat>
    <chartFormat chart="12" format="30">
      <pivotArea type="data" outline="0" fieldPosition="0">
        <references count="2">
          <reference field="4294967294" count="1" selected="0">
            <x v="0"/>
          </reference>
          <reference field="6" count="1" selected="0">
            <x v="15"/>
          </reference>
        </references>
      </pivotArea>
    </chartFormat>
    <chartFormat chart="12" format="31">
      <pivotArea type="data" outline="0" fieldPosition="0">
        <references count="2">
          <reference field="4294967294" count="1" selected="0">
            <x v="0"/>
          </reference>
          <reference field="6" count="1" selected="0">
            <x v="16"/>
          </reference>
        </references>
      </pivotArea>
    </chartFormat>
    <chartFormat chart="12" format="32">
      <pivotArea type="data" outline="0" fieldPosition="0">
        <references count="2">
          <reference field="4294967294" count="1" selected="0">
            <x v="0"/>
          </reference>
          <reference field="6" count="1" selected="0">
            <x v="17"/>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A83089-ABCB-4D0C-BEE1-CCC61D76816D}" name="PivotTable2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Q1:AR14" firstHeaderRow="1" firstDataRow="1" firstDataCol="1"/>
  <pivotFields count="17">
    <pivotField showAll="0"/>
    <pivotField axis="axisRow"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1"/>
  </rowFields>
  <rowItems count="13">
    <i>
      <x v="1"/>
    </i>
    <i>
      <x v="2"/>
    </i>
    <i>
      <x v="3"/>
    </i>
    <i>
      <x v="4"/>
    </i>
    <i>
      <x v="5"/>
    </i>
    <i>
      <x v="6"/>
    </i>
    <i>
      <x v="7"/>
    </i>
    <i>
      <x v="8"/>
    </i>
    <i>
      <x v="9"/>
    </i>
    <i>
      <x v="10"/>
    </i>
    <i>
      <x v="11"/>
    </i>
    <i>
      <x v="12"/>
    </i>
    <i t="grand">
      <x/>
    </i>
  </rowItems>
  <colItems count="1">
    <i/>
  </colItems>
  <dataFields count="1">
    <dataField name="Sum of Total Amount" fld="11" baseField="0" baseItem="0" numFmtId="1"/>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D681BF-7BD2-4561-9C34-A4D458BF57A6}" name="PivotTable2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I1:AO8" firstHeaderRow="1" firstDataRow="2" firstDataCol="1"/>
  <pivotFields count="17">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axis="axisRow" showAll="0">
      <items count="6">
        <item x="4"/>
        <item x="3"/>
        <item x="2"/>
        <item x="0"/>
        <item x="1"/>
        <item t="default"/>
      </items>
    </pivotField>
    <pivotField showAll="0">
      <items count="6">
        <item x="3"/>
        <item x="1"/>
        <item x="0"/>
        <item x="2"/>
        <item x="4"/>
        <item t="default"/>
      </items>
    </pivotField>
    <pivotField numFmtId="1" showAll="0"/>
    <pivotField numFmtId="1" showAll="0"/>
    <pivotField dataField="1" numFmtId="1" showAll="0"/>
    <pivotField axis="axisCol" showAll="0">
      <items count="6">
        <item x="3"/>
        <item x="0"/>
        <item x="1"/>
        <item x="4"/>
        <item x="2"/>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12"/>
  </colFields>
  <colItems count="6">
    <i>
      <x/>
    </i>
    <i>
      <x v="1"/>
    </i>
    <i>
      <x v="2"/>
    </i>
    <i>
      <x v="3"/>
    </i>
    <i>
      <x v="4"/>
    </i>
    <i t="grand">
      <x/>
    </i>
  </colItems>
  <dataFields count="1">
    <dataField name="Sum of Total Amount" fld="11" baseField="0" baseItem="0" numFmtId="1"/>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4" format="10" series="1">
      <pivotArea type="data" outline="0" fieldPosition="0">
        <references count="2">
          <reference field="4294967294" count="1" selected="0">
            <x v="0"/>
          </reference>
          <reference field="12" count="1" selected="0">
            <x v="0"/>
          </reference>
        </references>
      </pivotArea>
    </chartFormat>
    <chartFormat chart="4" format="11" series="1">
      <pivotArea type="data" outline="0" fieldPosition="0">
        <references count="2">
          <reference field="4294967294" count="1" selected="0">
            <x v="0"/>
          </reference>
          <reference field="12" count="1" selected="0">
            <x v="1"/>
          </reference>
        </references>
      </pivotArea>
    </chartFormat>
    <chartFormat chart="4" format="12" series="1">
      <pivotArea type="data" outline="0" fieldPosition="0">
        <references count="2">
          <reference field="4294967294" count="1" selected="0">
            <x v="0"/>
          </reference>
          <reference field="12" count="1" selected="0">
            <x v="2"/>
          </reference>
        </references>
      </pivotArea>
    </chartFormat>
    <chartFormat chart="4" format="13" series="1">
      <pivotArea type="data" outline="0" fieldPosition="0">
        <references count="2">
          <reference field="4294967294" count="1" selected="0">
            <x v="0"/>
          </reference>
          <reference field="12" count="1" selected="0">
            <x v="3"/>
          </reference>
        </references>
      </pivotArea>
    </chartFormat>
    <chartFormat chart="4"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4B919B-6DDD-4CC6-8249-F55798E17A8D}" name="PivotTable2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Z1:AF6" firstHeaderRow="1" firstDataRow="2" firstDataCol="1"/>
  <pivotFields count="17">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axis="axisCol" showAll="0">
      <items count="6">
        <item x="4"/>
        <item x="3"/>
        <item x="2"/>
        <item x="0"/>
        <item x="1"/>
        <item t="default"/>
      </items>
    </pivotField>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axis="axisRow"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Fields count="1">
    <field x="7"/>
  </colFields>
  <colItems count="6">
    <i>
      <x/>
    </i>
    <i>
      <x v="1"/>
    </i>
    <i>
      <x v="2"/>
    </i>
    <i>
      <x v="3"/>
    </i>
    <i>
      <x v="4"/>
    </i>
    <i t="grand">
      <x/>
    </i>
  </colItems>
  <dataFields count="1">
    <dataField name="Sum of Total Amount" fld="11" baseField="0" baseItem="0" numFmtId="1"/>
  </dataFields>
  <chartFormats count="1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 chart="2" format="3" series="1">
      <pivotArea type="data" outline="0" fieldPosition="0">
        <references count="2">
          <reference field="4294967294" count="1" selected="0">
            <x v="0"/>
          </reference>
          <reference field="7" count="1" selected="0">
            <x v="3"/>
          </reference>
        </references>
      </pivotArea>
    </chartFormat>
    <chartFormat chart="2" format="4" series="1">
      <pivotArea type="data" outline="0" fieldPosition="0">
        <references count="2">
          <reference field="4294967294" count="1" selected="0">
            <x v="0"/>
          </reference>
          <reference field="7" count="1" selected="0">
            <x v="4"/>
          </reference>
        </references>
      </pivotArea>
    </chartFormat>
    <chartFormat chart="6" format="10" series="1">
      <pivotArea type="data" outline="0" fieldPosition="0">
        <references count="2">
          <reference field="4294967294" count="1" selected="0">
            <x v="0"/>
          </reference>
          <reference field="7" count="1" selected="0">
            <x v="0"/>
          </reference>
        </references>
      </pivotArea>
    </chartFormat>
    <chartFormat chart="6" format="11" series="1">
      <pivotArea type="data" outline="0" fieldPosition="0">
        <references count="2">
          <reference field="4294967294" count="1" selected="0">
            <x v="0"/>
          </reference>
          <reference field="7" count="1" selected="0">
            <x v="1"/>
          </reference>
        </references>
      </pivotArea>
    </chartFormat>
    <chartFormat chart="6" format="12" series="1">
      <pivotArea type="data" outline="0" fieldPosition="0">
        <references count="2">
          <reference field="4294967294" count="1" selected="0">
            <x v="0"/>
          </reference>
          <reference field="7" count="1" selected="0">
            <x v="2"/>
          </reference>
        </references>
      </pivotArea>
    </chartFormat>
    <chartFormat chart="6" format="13" series="1">
      <pivotArea type="data" outline="0" fieldPosition="0">
        <references count="2">
          <reference field="4294967294" count="1" selected="0">
            <x v="0"/>
          </reference>
          <reference field="7" count="1" selected="0">
            <x v="3"/>
          </reference>
        </references>
      </pivotArea>
    </chartFormat>
    <chartFormat chart="6"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50DA73-6B48-4DAA-B3D1-F336903B2BDE}" name="PivotTable2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Q1:W8" firstHeaderRow="1" firstDataRow="2" firstDataCol="1"/>
  <pivotFields count="17">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axis="axisCol" showAll="0">
      <items count="6">
        <item x="4"/>
        <item x="3"/>
        <item x="2"/>
        <item x="0"/>
        <item x="1"/>
        <item t="default"/>
      </items>
    </pivotField>
    <pivotField name=" " axis="axisRow"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7"/>
  </colFields>
  <colItems count="6">
    <i>
      <x/>
    </i>
    <i>
      <x v="1"/>
    </i>
    <i>
      <x v="2"/>
    </i>
    <i>
      <x v="3"/>
    </i>
    <i>
      <x v="4"/>
    </i>
    <i t="grand">
      <x/>
    </i>
  </colItems>
  <dataFields count="1">
    <dataField name="  " fld="11" baseField="8" baseItem="0" numFmtId="1"/>
  </dataFields>
  <chartFormats count="20">
    <chartFormat chart="14" format="5" series="1">
      <pivotArea type="data" outline="0" fieldPosition="0">
        <references count="2">
          <reference field="4294967294" count="1" selected="0">
            <x v="0"/>
          </reference>
          <reference field="7" count="1" selected="0">
            <x v="0"/>
          </reference>
        </references>
      </pivotArea>
    </chartFormat>
    <chartFormat chart="14" format="6" series="1">
      <pivotArea type="data" outline="0" fieldPosition="0">
        <references count="2">
          <reference field="4294967294" count="1" selected="0">
            <x v="0"/>
          </reference>
          <reference field="7" count="1" selected="0">
            <x v="1"/>
          </reference>
        </references>
      </pivotArea>
    </chartFormat>
    <chartFormat chart="14" format="7" series="1">
      <pivotArea type="data" outline="0" fieldPosition="0">
        <references count="2">
          <reference field="4294967294" count="1" selected="0">
            <x v="0"/>
          </reference>
          <reference field="7" count="1" selected="0">
            <x v="2"/>
          </reference>
        </references>
      </pivotArea>
    </chartFormat>
    <chartFormat chart="14" format="8" series="1">
      <pivotArea type="data" outline="0" fieldPosition="0">
        <references count="2">
          <reference field="4294967294" count="1" selected="0">
            <x v="0"/>
          </reference>
          <reference field="7" count="1" selected="0">
            <x v="3"/>
          </reference>
        </references>
      </pivotArea>
    </chartFormat>
    <chartFormat chart="14" format="9" series="1">
      <pivotArea type="data" outline="0" fieldPosition="0">
        <references count="2">
          <reference field="4294967294" count="1" selected="0">
            <x v="0"/>
          </reference>
          <reference field="7" count="1" selected="0">
            <x v="4"/>
          </reference>
        </references>
      </pivotArea>
    </chartFormat>
    <chartFormat chart="15" format="10" series="1">
      <pivotArea type="data" outline="0" fieldPosition="0">
        <references count="2">
          <reference field="4294967294" count="1" selected="0">
            <x v="0"/>
          </reference>
          <reference field="7" count="1" selected="0">
            <x v="0"/>
          </reference>
        </references>
      </pivotArea>
    </chartFormat>
    <chartFormat chart="15" format="11" series="1">
      <pivotArea type="data" outline="0" fieldPosition="0">
        <references count="2">
          <reference field="4294967294" count="1" selected="0">
            <x v="0"/>
          </reference>
          <reference field="7" count="1" selected="0">
            <x v="1"/>
          </reference>
        </references>
      </pivotArea>
    </chartFormat>
    <chartFormat chart="15" format="12" series="1">
      <pivotArea type="data" outline="0" fieldPosition="0">
        <references count="2">
          <reference field="4294967294" count="1" selected="0">
            <x v="0"/>
          </reference>
          <reference field="7" count="1" selected="0">
            <x v="2"/>
          </reference>
        </references>
      </pivotArea>
    </chartFormat>
    <chartFormat chart="15" format="13" series="1">
      <pivotArea type="data" outline="0" fieldPosition="0">
        <references count="2">
          <reference field="4294967294" count="1" selected="0">
            <x v="0"/>
          </reference>
          <reference field="7" count="1" selected="0">
            <x v="3"/>
          </reference>
        </references>
      </pivotArea>
    </chartFormat>
    <chartFormat chart="15" format="14" series="1">
      <pivotArea type="data" outline="0" fieldPosition="0">
        <references count="2">
          <reference field="4294967294" count="1" selected="0">
            <x v="0"/>
          </reference>
          <reference field="7" count="1" selected="0">
            <x v="4"/>
          </reference>
        </references>
      </pivotArea>
    </chartFormat>
    <chartFormat chart="16" format="10" series="1">
      <pivotArea type="data" outline="0" fieldPosition="0">
        <references count="2">
          <reference field="4294967294" count="1" selected="0">
            <x v="0"/>
          </reference>
          <reference field="7" count="1" selected="0">
            <x v="0"/>
          </reference>
        </references>
      </pivotArea>
    </chartFormat>
    <chartFormat chart="16" format="11" series="1">
      <pivotArea type="data" outline="0" fieldPosition="0">
        <references count="2">
          <reference field="4294967294" count="1" selected="0">
            <x v="0"/>
          </reference>
          <reference field="7" count="1" selected="0">
            <x v="1"/>
          </reference>
        </references>
      </pivotArea>
    </chartFormat>
    <chartFormat chart="16" format="12" series="1">
      <pivotArea type="data" outline="0" fieldPosition="0">
        <references count="2">
          <reference field="4294967294" count="1" selected="0">
            <x v="0"/>
          </reference>
          <reference field="7" count="1" selected="0">
            <x v="2"/>
          </reference>
        </references>
      </pivotArea>
    </chartFormat>
    <chartFormat chart="16" format="13" series="1">
      <pivotArea type="data" outline="0" fieldPosition="0">
        <references count="2">
          <reference field="4294967294" count="1" selected="0">
            <x v="0"/>
          </reference>
          <reference field="7" count="1" selected="0">
            <x v="3"/>
          </reference>
        </references>
      </pivotArea>
    </chartFormat>
    <chartFormat chart="16" format="14" series="1">
      <pivotArea type="data" outline="0" fieldPosition="0">
        <references count="2">
          <reference field="4294967294" count="1" selected="0">
            <x v="0"/>
          </reference>
          <reference field="7" count="1" selected="0">
            <x v="4"/>
          </reference>
        </references>
      </pivotArea>
    </chartFormat>
    <chartFormat chart="19" format="10" series="1">
      <pivotArea type="data" outline="0" fieldPosition="0">
        <references count="2">
          <reference field="4294967294" count="1" selected="0">
            <x v="0"/>
          </reference>
          <reference field="7" count="1" selected="0">
            <x v="0"/>
          </reference>
        </references>
      </pivotArea>
    </chartFormat>
    <chartFormat chart="19" format="11" series="1">
      <pivotArea type="data" outline="0" fieldPosition="0">
        <references count="2">
          <reference field="4294967294" count="1" selected="0">
            <x v="0"/>
          </reference>
          <reference field="7" count="1" selected="0">
            <x v="1"/>
          </reference>
        </references>
      </pivotArea>
    </chartFormat>
    <chartFormat chart="19" format="12" series="1">
      <pivotArea type="data" outline="0" fieldPosition="0">
        <references count="2">
          <reference field="4294967294" count="1" selected="0">
            <x v="0"/>
          </reference>
          <reference field="7" count="1" selected="0">
            <x v="2"/>
          </reference>
        </references>
      </pivotArea>
    </chartFormat>
    <chartFormat chart="19" format="13" series="1">
      <pivotArea type="data" outline="0" fieldPosition="0">
        <references count="2">
          <reference field="4294967294" count="1" selected="0">
            <x v="0"/>
          </reference>
          <reference field="7" count="1" selected="0">
            <x v="3"/>
          </reference>
        </references>
      </pivotArea>
    </chartFormat>
    <chartFormat chart="19"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33E4F27-24EE-4CB6-B81E-CEAF8897DEB6}" sourceName="Payment Method">
  <pivotTables>
    <pivotTable tabId="18" name="PivotTable24"/>
    <pivotTable tabId="18" name="PivotTable25"/>
    <pivotTable tabId="18" name="PivotTable26"/>
    <pivotTable tabId="18" name="PivotTable27"/>
    <pivotTable tabId="18" name="PivotTable28"/>
  </pivotTables>
  <data>
    <tabular pivotCacheId="79675681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CF92B09-C4C3-42D3-86A0-2BBA423555A4}" sourceName="Delivery Status">
  <pivotTables>
    <pivotTable tabId="18" name="PivotTable24"/>
    <pivotTable tabId="18" name="PivotTable25"/>
    <pivotTable tabId="18" name="PivotTable26"/>
    <pivotTable tabId="18" name="PivotTable27"/>
    <pivotTable tabId="18" name="PivotTable28"/>
  </pivotTables>
  <data>
    <tabular pivotCacheId="7967568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DB59CE-1D69-4872-9AAE-B92BA0A60A83}" sourceName="Region">
  <pivotTables>
    <pivotTable tabId="18" name="PivotTable24"/>
    <pivotTable tabId="18" name="PivotTable25"/>
    <pivotTable tabId="18" name="PivotTable26"/>
    <pivotTable tabId="18" name="PivotTable27"/>
    <pivotTable tabId="18" name="PivotTable28"/>
  </pivotTables>
  <data>
    <tabular pivotCacheId="796756813">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F901AA9C-F01C-4668-B559-574C6F52BB0B}" cache="Slicer_Payment_Method" caption="Payment Method" style="SlicerStyleLight3" rowHeight="241300"/>
  <slicer name="Delivery Status" xr10:uid="{698C607C-5F52-43A6-8C4C-67E7C0D6C1D8}" cache="Slicer_Delivery_Status" caption="Delivery Status" style="SlicerStyleLight6" rowHeight="241300"/>
  <slicer name="Category " xr10:uid="{87434E9E-1845-4F1B-BF77-3FFD4B1017E9}" cache="Slicer_Region" caption=" Category" style="SlicerStyleLight3"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00"/>
  <sheetViews>
    <sheetView topLeftCell="C1" zoomScale="101" workbookViewId="0">
      <pane ySplit="1" topLeftCell="A87" activePane="bottomLeft" state="frozen"/>
      <selection pane="bottomLeft" sqref="A1:O101"/>
    </sheetView>
  </sheetViews>
  <sheetFormatPr defaultColWidth="14.453125" defaultRowHeight="15" customHeight="1" x14ac:dyDescent="0.35"/>
  <cols>
    <col min="1" max="1" width="8.54296875" bestFit="1" customWidth="1"/>
    <col min="2" max="2" width="10.1796875" style="14" bestFit="1" customWidth="1"/>
    <col min="3" max="3" width="12" style="21" bestFit="1" customWidth="1"/>
    <col min="4" max="4" width="19.453125" style="21" bestFit="1" customWidth="1"/>
    <col min="5" max="5" width="10.7265625" style="21" bestFit="1" customWidth="1"/>
    <col min="6" max="6" width="11.26953125" bestFit="1" customWidth="1"/>
    <col min="7" max="7" width="9.7265625" bestFit="1" customWidth="1"/>
    <col min="8" max="8" width="9.7265625" customWidth="1"/>
    <col min="9" max="9" width="8.7265625" bestFit="1" customWidth="1"/>
    <col min="10" max="10" width="13.1796875" style="4" bestFit="1" customWidth="1"/>
    <col min="11" max="11" width="8.1796875" style="4" bestFit="1" customWidth="1"/>
    <col min="12" max="12" width="12.36328125" style="4" bestFit="1" customWidth="1"/>
    <col min="13" max="13" width="15.54296875" bestFit="1" customWidth="1"/>
    <col min="14" max="14" width="13.36328125" bestFit="1" customWidth="1"/>
    <col min="15" max="15" width="16.6328125" bestFit="1" customWidth="1"/>
    <col min="16" max="16" width="16.1796875" bestFit="1" customWidth="1"/>
    <col min="17" max="17" width="11.1796875" bestFit="1" customWidth="1"/>
    <col min="18" max="18" width="9.7265625" bestFit="1" customWidth="1"/>
    <col min="19" max="19" width="9.08984375" style="4" bestFit="1" customWidth="1"/>
    <col min="20" max="20" width="13" bestFit="1" customWidth="1"/>
    <col min="21" max="21" width="9.26953125" bestFit="1" customWidth="1"/>
    <col min="22" max="22" width="18.1796875" bestFit="1" customWidth="1"/>
    <col min="23" max="23" width="5.54296875" bestFit="1" customWidth="1"/>
    <col min="24" max="24" width="7.453125" bestFit="1" customWidth="1"/>
    <col min="25" max="25" width="8.90625" bestFit="1" customWidth="1"/>
    <col min="26" max="26" width="12.6328125" bestFit="1" customWidth="1"/>
    <col min="27" max="27" width="9.08984375" bestFit="1" customWidth="1"/>
    <col min="28" max="28" width="17.90625" bestFit="1" customWidth="1"/>
    <col min="29" max="29" width="5.36328125" bestFit="1" customWidth="1"/>
    <col min="30" max="30" width="7.26953125" bestFit="1" customWidth="1"/>
    <col min="36" max="36" width="16" style="22" customWidth="1"/>
    <col min="37" max="37" width="14.453125" style="21"/>
    <col min="40" max="40" width="13.81640625" style="14" customWidth="1"/>
    <col min="41" max="41" width="17.54296875" style="21" customWidth="1"/>
  </cols>
  <sheetData>
    <row r="1" spans="1:44" s="28" customFormat="1" ht="18" customHeight="1" x14ac:dyDescent="0.35">
      <c r="A1" s="41" t="s">
        <v>0</v>
      </c>
      <c r="B1" s="42" t="s">
        <v>1</v>
      </c>
      <c r="C1" s="43" t="s">
        <v>2</v>
      </c>
      <c r="D1" s="44" t="s">
        <v>311</v>
      </c>
      <c r="E1" s="43" t="s">
        <v>3</v>
      </c>
      <c r="F1" s="41" t="s">
        <v>4</v>
      </c>
      <c r="G1" s="41" t="s">
        <v>5</v>
      </c>
      <c r="H1" s="41" t="s">
        <v>196</v>
      </c>
      <c r="I1" s="41" t="s">
        <v>6</v>
      </c>
      <c r="J1" s="45" t="s">
        <v>7</v>
      </c>
      <c r="K1" s="45" t="s">
        <v>8</v>
      </c>
      <c r="L1" s="45" t="s">
        <v>9</v>
      </c>
      <c r="M1" s="41" t="s">
        <v>10</v>
      </c>
      <c r="N1" s="41" t="s">
        <v>11</v>
      </c>
      <c r="O1" s="41" t="s">
        <v>12</v>
      </c>
      <c r="P1" s="23"/>
      <c r="Q1" s="24"/>
      <c r="R1" s="24"/>
      <c r="S1" s="25"/>
      <c r="T1" s="23"/>
      <c r="U1" s="26"/>
      <c r="V1" s="26"/>
      <c r="W1" s="26"/>
      <c r="X1" s="26"/>
      <c r="Y1" s="27"/>
      <c r="Z1" s="26"/>
      <c r="AA1" s="26"/>
      <c r="AB1" s="26"/>
      <c r="AC1" s="26"/>
      <c r="AD1" s="26"/>
      <c r="AE1" s="26"/>
      <c r="AF1" s="26"/>
      <c r="AG1" s="26"/>
      <c r="AK1" s="29"/>
      <c r="AN1" s="30" t="s">
        <v>1</v>
      </c>
      <c r="AO1" s="31" t="s">
        <v>2</v>
      </c>
    </row>
    <row r="2" spans="1:44" ht="18" customHeight="1" x14ac:dyDescent="0.35">
      <c r="A2" s="35" t="s">
        <v>13</v>
      </c>
      <c r="B2" s="46">
        <v>45291</v>
      </c>
      <c r="C2" s="46"/>
      <c r="D2" s="47"/>
      <c r="E2" s="46">
        <v>45293</v>
      </c>
      <c r="F2" s="35" t="s">
        <v>14</v>
      </c>
      <c r="G2" s="35" t="s">
        <v>15</v>
      </c>
      <c r="H2" s="35" t="str">
        <f>VLOOKUP(G2,ProductMaster!A:C,3,0)</f>
        <v>Home</v>
      </c>
      <c r="I2" s="48" t="s">
        <v>16</v>
      </c>
      <c r="J2" s="36">
        <v>44</v>
      </c>
      <c r="K2" s="36">
        <v>1</v>
      </c>
      <c r="L2" s="36">
        <v>44</v>
      </c>
      <c r="M2" s="40" t="s">
        <v>17</v>
      </c>
      <c r="N2" s="35" t="s">
        <v>18</v>
      </c>
      <c r="O2" s="35" t="s">
        <v>19</v>
      </c>
      <c r="Q2" s="17"/>
      <c r="X2" s="18"/>
      <c r="Y2" s="4"/>
      <c r="AD2" s="18"/>
      <c r="AJ2" s="16"/>
      <c r="AK2" s="14"/>
      <c r="AL2" s="14"/>
      <c r="AN2" s="15">
        <v>45291</v>
      </c>
      <c r="AO2" s="15"/>
    </row>
    <row r="3" spans="1:44" ht="18" customHeight="1" x14ac:dyDescent="0.35">
      <c r="A3" s="35" t="s">
        <v>20</v>
      </c>
      <c r="B3" s="46">
        <v>44979</v>
      </c>
      <c r="C3" s="46">
        <v>44981</v>
      </c>
      <c r="D3" s="47">
        <v>2</v>
      </c>
      <c r="E3" s="46"/>
      <c r="F3" s="35" t="s">
        <v>21</v>
      </c>
      <c r="G3" s="35" t="s">
        <v>22</v>
      </c>
      <c r="H3" s="35" t="str">
        <f>VLOOKUP(G3,ProductMaster!A:C,3,0)</f>
        <v>Toys</v>
      </c>
      <c r="I3" s="48" t="s">
        <v>23</v>
      </c>
      <c r="J3" s="36">
        <v>96</v>
      </c>
      <c r="K3" s="36">
        <v>4</v>
      </c>
      <c r="L3" s="36">
        <v>384</v>
      </c>
      <c r="M3" s="40" t="s">
        <v>24</v>
      </c>
      <c r="N3" s="35" t="s">
        <v>25</v>
      </c>
      <c r="O3" s="35" t="s">
        <v>19</v>
      </c>
      <c r="Q3" s="17"/>
      <c r="X3" s="18"/>
      <c r="Y3" s="4"/>
      <c r="AD3" s="18"/>
      <c r="AJ3" s="16"/>
      <c r="AK3" s="14"/>
      <c r="AM3" s="14"/>
      <c r="AN3" s="15">
        <v>44979</v>
      </c>
      <c r="AO3" s="15">
        <v>44981</v>
      </c>
      <c r="AR3">
        <f t="shared" ref="AR3:AR65" si="0">AO3-AN3</f>
        <v>2</v>
      </c>
    </row>
    <row r="4" spans="1:44" ht="18" customHeight="1" x14ac:dyDescent="0.35">
      <c r="A4" s="35" t="s">
        <v>26</v>
      </c>
      <c r="B4" s="46">
        <v>45210</v>
      </c>
      <c r="C4" s="46"/>
      <c r="D4" s="47"/>
      <c r="E4" s="46"/>
      <c r="F4" s="35" t="s">
        <v>14</v>
      </c>
      <c r="G4" s="35" t="s">
        <v>27</v>
      </c>
      <c r="H4" s="35" t="str">
        <f>VLOOKUP(G4,ProductMaster!A:C,3,0)</f>
        <v>Home</v>
      </c>
      <c r="I4" s="48" t="s">
        <v>28</v>
      </c>
      <c r="J4" s="36">
        <v>194</v>
      </c>
      <c r="K4" s="36">
        <v>4</v>
      </c>
      <c r="L4" s="36">
        <v>776</v>
      </c>
      <c r="M4" s="40" t="s">
        <v>24</v>
      </c>
      <c r="N4" s="35" t="s">
        <v>29</v>
      </c>
      <c r="O4" s="35" t="s">
        <v>30</v>
      </c>
      <c r="Q4" s="17"/>
      <c r="X4" s="18"/>
      <c r="Y4" s="4"/>
      <c r="AD4" s="18"/>
      <c r="AJ4" s="16"/>
      <c r="AK4" s="14"/>
      <c r="AN4" s="15">
        <v>45210</v>
      </c>
      <c r="AO4" s="15"/>
    </row>
    <row r="5" spans="1:44" ht="18" customHeight="1" x14ac:dyDescent="0.35">
      <c r="A5" s="35" t="s">
        <v>31</v>
      </c>
      <c r="B5" s="46">
        <v>45051</v>
      </c>
      <c r="C5" s="46"/>
      <c r="D5" s="47"/>
      <c r="E5" s="46">
        <v>45057</v>
      </c>
      <c r="F5" s="35" t="s">
        <v>32</v>
      </c>
      <c r="G5" s="35" t="s">
        <v>27</v>
      </c>
      <c r="H5" s="35" t="str">
        <f>VLOOKUP(G5,ProductMaster!A:C,3,0)</f>
        <v>Home</v>
      </c>
      <c r="I5" s="48" t="s">
        <v>16</v>
      </c>
      <c r="J5" s="36">
        <v>196</v>
      </c>
      <c r="K5" s="36">
        <v>3</v>
      </c>
      <c r="L5" s="36">
        <v>588</v>
      </c>
      <c r="M5" s="40" t="s">
        <v>33</v>
      </c>
      <c r="N5" s="35" t="s">
        <v>18</v>
      </c>
      <c r="O5" s="35" t="s">
        <v>34</v>
      </c>
      <c r="Q5" s="17"/>
      <c r="X5" s="18"/>
      <c r="Y5" s="4"/>
      <c r="AD5" s="18"/>
      <c r="AJ5" s="16"/>
      <c r="AK5" s="14"/>
      <c r="AN5" s="15">
        <v>45051</v>
      </c>
      <c r="AO5" s="15"/>
    </row>
    <row r="6" spans="1:44" ht="18" customHeight="1" x14ac:dyDescent="0.35">
      <c r="A6" s="35" t="s">
        <v>35</v>
      </c>
      <c r="B6" s="46">
        <v>44959</v>
      </c>
      <c r="C6" s="46">
        <v>44962</v>
      </c>
      <c r="D6" s="47">
        <v>3</v>
      </c>
      <c r="E6" s="46"/>
      <c r="F6" s="35" t="s">
        <v>36</v>
      </c>
      <c r="G6" s="35" t="s">
        <v>37</v>
      </c>
      <c r="H6" s="35" t="str">
        <f>VLOOKUP(G6,ProductMaster!A:C,3,0)</f>
        <v>Fashion</v>
      </c>
      <c r="I6" s="48" t="s">
        <v>16</v>
      </c>
      <c r="J6" s="36">
        <v>59</v>
      </c>
      <c r="K6" s="36">
        <v>1</v>
      </c>
      <c r="L6" s="36">
        <v>59</v>
      </c>
      <c r="M6" s="35" t="s">
        <v>33</v>
      </c>
      <c r="N6" s="35" t="s">
        <v>25</v>
      </c>
      <c r="O6" s="35" t="s">
        <v>38</v>
      </c>
      <c r="Q6" s="17"/>
      <c r="X6" s="18"/>
      <c r="Y6" s="4"/>
      <c r="AD6" s="18"/>
      <c r="AJ6" s="16"/>
      <c r="AK6" s="14"/>
      <c r="AN6" s="15">
        <v>44959</v>
      </c>
      <c r="AO6" s="15">
        <v>44962</v>
      </c>
      <c r="AR6">
        <f t="shared" si="0"/>
        <v>3</v>
      </c>
    </row>
    <row r="7" spans="1:44" ht="18" customHeight="1" x14ac:dyDescent="0.35">
      <c r="A7" s="35" t="s">
        <v>39</v>
      </c>
      <c r="B7" s="46">
        <v>45231</v>
      </c>
      <c r="C7" s="46"/>
      <c r="D7" s="47"/>
      <c r="E7" s="46">
        <v>45232</v>
      </c>
      <c r="F7" s="35" t="s">
        <v>40</v>
      </c>
      <c r="G7" s="35" t="s">
        <v>37</v>
      </c>
      <c r="H7" s="35" t="str">
        <f>VLOOKUP(G7,ProductMaster!A:C,3,0)</f>
        <v>Fashion</v>
      </c>
      <c r="I7" s="48" t="s">
        <v>16</v>
      </c>
      <c r="J7" s="36">
        <v>58</v>
      </c>
      <c r="K7" s="36">
        <v>4</v>
      </c>
      <c r="L7" s="36">
        <v>232</v>
      </c>
      <c r="M7" s="35" t="s">
        <v>41</v>
      </c>
      <c r="N7" s="35" t="s">
        <v>18</v>
      </c>
      <c r="O7" s="35" t="s">
        <v>19</v>
      </c>
      <c r="Q7" s="17"/>
      <c r="X7" s="18"/>
      <c r="Y7" s="4"/>
      <c r="AD7" s="18"/>
      <c r="AJ7" s="16"/>
      <c r="AK7" s="14"/>
      <c r="AN7" s="15">
        <v>45231</v>
      </c>
      <c r="AO7" s="15"/>
    </row>
    <row r="8" spans="1:44" ht="18" customHeight="1" x14ac:dyDescent="0.35">
      <c r="A8" s="35" t="s">
        <v>42</v>
      </c>
      <c r="B8" s="46">
        <v>45152</v>
      </c>
      <c r="C8" s="46"/>
      <c r="D8" s="47"/>
      <c r="E8" s="46">
        <v>45156</v>
      </c>
      <c r="F8" s="35" t="s">
        <v>43</v>
      </c>
      <c r="G8" s="35" t="s">
        <v>44</v>
      </c>
      <c r="H8" s="35" t="str">
        <f>VLOOKUP(G8,ProductMaster!A:C,3,0)</f>
        <v>Electronics</v>
      </c>
      <c r="I8" s="48" t="s">
        <v>45</v>
      </c>
      <c r="J8" s="36">
        <v>105</v>
      </c>
      <c r="K8" s="36">
        <v>3</v>
      </c>
      <c r="L8" s="36">
        <v>315</v>
      </c>
      <c r="M8" s="35" t="s">
        <v>46</v>
      </c>
      <c r="N8" s="35" t="s">
        <v>18</v>
      </c>
      <c r="O8" s="35" t="s">
        <v>19</v>
      </c>
      <c r="Q8" s="17"/>
      <c r="X8" s="18"/>
      <c r="Y8" s="4"/>
      <c r="AD8" s="18"/>
      <c r="AJ8" s="16"/>
      <c r="AK8" s="14"/>
      <c r="AN8" s="15">
        <v>45152</v>
      </c>
      <c r="AO8" s="15"/>
    </row>
    <row r="9" spans="1:44" ht="18" customHeight="1" x14ac:dyDescent="0.35">
      <c r="A9" s="35" t="s">
        <v>47</v>
      </c>
      <c r="B9" s="46">
        <v>45017</v>
      </c>
      <c r="C9" s="46"/>
      <c r="D9" s="47"/>
      <c r="E9" s="46">
        <v>45022</v>
      </c>
      <c r="F9" s="35" t="s">
        <v>48</v>
      </c>
      <c r="G9" s="35" t="s">
        <v>49</v>
      </c>
      <c r="H9" s="35" t="str">
        <f>VLOOKUP(G9,ProductMaster!A:C,3,0)</f>
        <v>Home</v>
      </c>
      <c r="I9" s="48" t="s">
        <v>50</v>
      </c>
      <c r="J9" s="36">
        <v>37</v>
      </c>
      <c r="K9" s="36">
        <v>5</v>
      </c>
      <c r="L9" s="36">
        <v>185</v>
      </c>
      <c r="M9" s="35" t="s">
        <v>33</v>
      </c>
      <c r="N9" s="35" t="s">
        <v>18</v>
      </c>
      <c r="O9" s="35" t="s">
        <v>19</v>
      </c>
      <c r="Q9" s="17"/>
      <c r="X9" s="18"/>
      <c r="Y9" s="4"/>
      <c r="AD9" s="18"/>
      <c r="AJ9" s="16"/>
      <c r="AK9" s="14"/>
      <c r="AN9" s="15">
        <v>45017</v>
      </c>
      <c r="AO9" s="15"/>
    </row>
    <row r="10" spans="1:44" ht="18" customHeight="1" x14ac:dyDescent="0.35">
      <c r="A10" s="35" t="s">
        <v>51</v>
      </c>
      <c r="B10" s="46">
        <v>45128</v>
      </c>
      <c r="C10" s="46"/>
      <c r="D10" s="47"/>
      <c r="E10" s="46"/>
      <c r="F10" s="35" t="s">
        <v>52</v>
      </c>
      <c r="G10" s="35" t="s">
        <v>53</v>
      </c>
      <c r="H10" s="35" t="str">
        <f>VLOOKUP(G10,ProductMaster!A:C,3,0)</f>
        <v>Fashion</v>
      </c>
      <c r="I10" s="48" t="s">
        <v>45</v>
      </c>
      <c r="J10" s="36">
        <v>44</v>
      </c>
      <c r="K10" s="36">
        <v>2</v>
      </c>
      <c r="L10" s="36">
        <v>88</v>
      </c>
      <c r="M10" s="35" t="s">
        <v>24</v>
      </c>
      <c r="N10" s="35" t="s">
        <v>29</v>
      </c>
      <c r="O10" s="35" t="s">
        <v>38</v>
      </c>
      <c r="Q10" s="17"/>
      <c r="X10" s="18"/>
      <c r="Y10" s="4"/>
      <c r="AD10" s="18"/>
      <c r="AJ10" s="16"/>
      <c r="AK10" s="14"/>
      <c r="AN10" s="15">
        <v>45128</v>
      </c>
      <c r="AO10" s="15"/>
    </row>
    <row r="11" spans="1:44" ht="18" customHeight="1" x14ac:dyDescent="0.35">
      <c r="A11" s="35" t="s">
        <v>54</v>
      </c>
      <c r="B11" s="46">
        <v>45289</v>
      </c>
      <c r="C11" s="46"/>
      <c r="D11" s="47"/>
      <c r="E11" s="46"/>
      <c r="F11" s="35" t="s">
        <v>48</v>
      </c>
      <c r="G11" s="35" t="s">
        <v>55</v>
      </c>
      <c r="H11" s="35" t="str">
        <f>VLOOKUP(G11,ProductMaster!A:C,3,0)</f>
        <v>Home</v>
      </c>
      <c r="I11" s="48" t="s">
        <v>28</v>
      </c>
      <c r="J11" s="36">
        <v>141</v>
      </c>
      <c r="K11" s="36">
        <v>4</v>
      </c>
      <c r="L11" s="36">
        <v>564</v>
      </c>
      <c r="M11" s="35" t="s">
        <v>46</v>
      </c>
      <c r="N11" s="35" t="s">
        <v>29</v>
      </c>
      <c r="O11" s="35" t="s">
        <v>19</v>
      </c>
      <c r="Q11" s="17"/>
      <c r="X11" s="18"/>
      <c r="Y11" s="4"/>
      <c r="AD11" s="18"/>
      <c r="AJ11" s="16"/>
      <c r="AK11" s="14"/>
      <c r="AN11" s="15">
        <v>45289</v>
      </c>
      <c r="AO11" s="15"/>
    </row>
    <row r="12" spans="1:44" ht="18" customHeight="1" x14ac:dyDescent="0.35">
      <c r="A12" s="35" t="s">
        <v>56</v>
      </c>
      <c r="B12" s="46">
        <v>45050</v>
      </c>
      <c r="C12" s="46"/>
      <c r="D12" s="47"/>
      <c r="E12" s="46">
        <v>45054</v>
      </c>
      <c r="F12" s="35" t="s">
        <v>57</v>
      </c>
      <c r="G12" s="35" t="s">
        <v>58</v>
      </c>
      <c r="H12" s="35" t="str">
        <f>VLOOKUP(G12,ProductMaster!A:C,3,0)</f>
        <v>Electronics</v>
      </c>
      <c r="I12" s="49" t="s">
        <v>28</v>
      </c>
      <c r="J12" s="36">
        <v>249</v>
      </c>
      <c r="K12" s="36">
        <v>1</v>
      </c>
      <c r="L12" s="36">
        <v>249</v>
      </c>
      <c r="M12" s="35" t="s">
        <v>41</v>
      </c>
      <c r="N12" s="35" t="s">
        <v>18</v>
      </c>
      <c r="O12" s="35" t="s">
        <v>30</v>
      </c>
      <c r="Q12" s="17"/>
      <c r="X12" s="18"/>
      <c r="Y12" s="4"/>
      <c r="AD12" s="18"/>
      <c r="AJ12" s="16"/>
      <c r="AK12" s="14"/>
      <c r="AN12" s="15">
        <v>45050</v>
      </c>
      <c r="AO12" s="15"/>
    </row>
    <row r="13" spans="1:44" ht="18" customHeight="1" x14ac:dyDescent="0.35">
      <c r="A13" s="35" t="s">
        <v>59</v>
      </c>
      <c r="B13" s="46">
        <v>45132</v>
      </c>
      <c r="C13" s="46"/>
      <c r="D13" s="47"/>
      <c r="E13" s="46"/>
      <c r="F13" s="35" t="s">
        <v>60</v>
      </c>
      <c r="G13" s="35" t="s">
        <v>58</v>
      </c>
      <c r="H13" s="35" t="str">
        <f>VLOOKUP(G13,ProductMaster!A:C,3,0)</f>
        <v>Electronics</v>
      </c>
      <c r="I13" s="49" t="s">
        <v>45</v>
      </c>
      <c r="J13" s="36">
        <v>247</v>
      </c>
      <c r="K13" s="36">
        <v>3</v>
      </c>
      <c r="L13" s="36">
        <v>741</v>
      </c>
      <c r="M13" s="35" t="s">
        <v>41</v>
      </c>
      <c r="N13" s="35" t="s">
        <v>29</v>
      </c>
      <c r="O13" s="35" t="s">
        <v>61</v>
      </c>
      <c r="Q13" s="17"/>
      <c r="X13" s="18"/>
      <c r="Y13" s="4"/>
      <c r="AD13" s="18"/>
      <c r="AJ13" s="16"/>
      <c r="AK13" s="14"/>
      <c r="AN13" s="15">
        <v>45132</v>
      </c>
      <c r="AO13" s="15"/>
    </row>
    <row r="14" spans="1:44" ht="18" customHeight="1" x14ac:dyDescent="0.35">
      <c r="A14" s="35" t="s">
        <v>62</v>
      </c>
      <c r="B14" s="46">
        <v>44982</v>
      </c>
      <c r="C14" s="46"/>
      <c r="D14" s="47"/>
      <c r="E14" s="46">
        <v>44985</v>
      </c>
      <c r="F14" s="35" t="s">
        <v>63</v>
      </c>
      <c r="G14" s="35" t="s">
        <v>64</v>
      </c>
      <c r="H14" s="35" t="str">
        <f>VLOOKUP(G14,ProductMaster!A:C,3,0)</f>
        <v>Fashion</v>
      </c>
      <c r="I14" s="49" t="s">
        <v>45</v>
      </c>
      <c r="J14" s="36">
        <v>96</v>
      </c>
      <c r="K14" s="36">
        <v>1</v>
      </c>
      <c r="L14" s="36">
        <v>96</v>
      </c>
      <c r="M14" s="35" t="s">
        <v>17</v>
      </c>
      <c r="N14" s="35" t="s">
        <v>18</v>
      </c>
      <c r="O14" s="35" t="s">
        <v>38</v>
      </c>
      <c r="Q14" s="17"/>
      <c r="X14" s="18"/>
      <c r="Y14" s="4"/>
      <c r="AD14" s="18"/>
      <c r="AJ14" s="16"/>
      <c r="AK14" s="14"/>
      <c r="AN14" s="15">
        <v>44982</v>
      </c>
      <c r="AO14" s="15"/>
    </row>
    <row r="15" spans="1:44" ht="18" customHeight="1" x14ac:dyDescent="0.35">
      <c r="A15" s="35" t="s">
        <v>65</v>
      </c>
      <c r="B15" s="46">
        <v>44981</v>
      </c>
      <c r="C15" s="46"/>
      <c r="D15" s="47"/>
      <c r="E15" s="46">
        <v>44982</v>
      </c>
      <c r="F15" s="35" t="s">
        <v>66</v>
      </c>
      <c r="G15" s="35" t="s">
        <v>67</v>
      </c>
      <c r="H15" s="35" t="str">
        <f>VLOOKUP(G15,ProductMaster!A:C,3,0)</f>
        <v>Electronics</v>
      </c>
      <c r="I15" s="49" t="s">
        <v>50</v>
      </c>
      <c r="J15" s="36">
        <v>74</v>
      </c>
      <c r="K15" s="36">
        <v>5</v>
      </c>
      <c r="L15" s="36">
        <v>370</v>
      </c>
      <c r="M15" s="35" t="s">
        <v>17</v>
      </c>
      <c r="N15" s="35" t="s">
        <v>18</v>
      </c>
      <c r="O15" s="35" t="s">
        <v>38</v>
      </c>
      <c r="Q15" s="17"/>
      <c r="X15" s="18"/>
      <c r="Y15" s="4"/>
      <c r="AD15" s="18"/>
      <c r="AJ15" s="16"/>
      <c r="AK15" s="14"/>
      <c r="AN15" s="15">
        <v>44981</v>
      </c>
      <c r="AO15" s="15"/>
    </row>
    <row r="16" spans="1:44" ht="18" customHeight="1" x14ac:dyDescent="0.35">
      <c r="A16" s="35" t="s">
        <v>68</v>
      </c>
      <c r="B16" s="46">
        <v>45164</v>
      </c>
      <c r="C16" s="46"/>
      <c r="D16" s="47"/>
      <c r="E16" s="46">
        <v>45171</v>
      </c>
      <c r="F16" s="35" t="s">
        <v>66</v>
      </c>
      <c r="G16" s="35" t="s">
        <v>69</v>
      </c>
      <c r="H16" s="35" t="str">
        <f>VLOOKUP(G16,ProductMaster!A:C,3,0)</f>
        <v>Fashion</v>
      </c>
      <c r="I16" s="49" t="s">
        <v>28</v>
      </c>
      <c r="J16" s="36">
        <v>27</v>
      </c>
      <c r="K16" s="36">
        <v>1</v>
      </c>
      <c r="L16" s="36">
        <v>27</v>
      </c>
      <c r="M16" s="35" t="s">
        <v>24</v>
      </c>
      <c r="N16" s="35" t="s">
        <v>18</v>
      </c>
      <c r="O16" s="35" t="s">
        <v>38</v>
      </c>
      <c r="Q16" s="17"/>
      <c r="X16" s="18"/>
      <c r="Y16" s="4"/>
      <c r="AD16" s="18"/>
      <c r="AJ16" s="16"/>
      <c r="AK16" s="14"/>
      <c r="AN16" s="15">
        <v>45164</v>
      </c>
      <c r="AO16" s="15"/>
    </row>
    <row r="17" spans="1:44" ht="18" customHeight="1" x14ac:dyDescent="0.35">
      <c r="A17" s="35" t="s">
        <v>70</v>
      </c>
      <c r="B17" s="46">
        <v>44970</v>
      </c>
      <c r="C17" s="46"/>
      <c r="D17" s="47"/>
      <c r="E17" s="46"/>
      <c r="F17" s="35" t="s">
        <v>71</v>
      </c>
      <c r="G17" s="35" t="s">
        <v>69</v>
      </c>
      <c r="H17" s="35" t="str">
        <f>VLOOKUP(G17,ProductMaster!A:C,3,0)</f>
        <v>Fashion</v>
      </c>
      <c r="I17" s="49" t="s">
        <v>28</v>
      </c>
      <c r="J17" s="36">
        <v>27</v>
      </c>
      <c r="K17" s="36">
        <v>3</v>
      </c>
      <c r="L17" s="36">
        <v>81</v>
      </c>
      <c r="M17" s="35" t="s">
        <v>46</v>
      </c>
      <c r="N17" s="35" t="s">
        <v>29</v>
      </c>
      <c r="O17" s="35" t="s">
        <v>38</v>
      </c>
      <c r="Q17" s="17"/>
      <c r="X17" s="18"/>
      <c r="Y17" s="4"/>
      <c r="AD17" s="18"/>
      <c r="AJ17" s="16"/>
      <c r="AK17" s="14"/>
      <c r="AN17" s="15">
        <v>44970</v>
      </c>
      <c r="AO17" s="15"/>
    </row>
    <row r="18" spans="1:44" ht="18" customHeight="1" x14ac:dyDescent="0.35">
      <c r="A18" s="35" t="s">
        <v>72</v>
      </c>
      <c r="B18" s="46">
        <v>45105</v>
      </c>
      <c r="C18" s="46">
        <v>45108</v>
      </c>
      <c r="D18" s="47">
        <v>3</v>
      </c>
      <c r="E18" s="46"/>
      <c r="F18" s="35" t="s">
        <v>60</v>
      </c>
      <c r="G18" s="35" t="s">
        <v>73</v>
      </c>
      <c r="H18" s="35" t="str">
        <f>VLOOKUP(G18,ProductMaster!A:C,3,0)</f>
        <v>Books</v>
      </c>
      <c r="I18" s="49" t="s">
        <v>23</v>
      </c>
      <c r="J18" s="36">
        <v>21</v>
      </c>
      <c r="K18" s="36">
        <v>3</v>
      </c>
      <c r="L18" s="36">
        <v>63</v>
      </c>
      <c r="M18" s="35" t="s">
        <v>24</v>
      </c>
      <c r="N18" s="35" t="s">
        <v>25</v>
      </c>
      <c r="O18" s="35" t="s">
        <v>19</v>
      </c>
      <c r="Q18" s="17"/>
      <c r="X18" s="18"/>
      <c r="Y18" s="4"/>
      <c r="AD18" s="18"/>
      <c r="AJ18" s="16"/>
      <c r="AK18" s="14"/>
      <c r="AN18" s="15">
        <v>45105</v>
      </c>
      <c r="AO18" s="15">
        <v>45108</v>
      </c>
      <c r="AR18">
        <f t="shared" si="0"/>
        <v>3</v>
      </c>
    </row>
    <row r="19" spans="1:44" ht="18" customHeight="1" x14ac:dyDescent="0.35">
      <c r="A19" s="35" t="s">
        <v>74</v>
      </c>
      <c r="B19" s="46">
        <v>45258</v>
      </c>
      <c r="C19" s="46"/>
      <c r="D19" s="47"/>
      <c r="E19" s="46"/>
      <c r="F19" s="35" t="s">
        <v>75</v>
      </c>
      <c r="G19" s="35" t="s">
        <v>76</v>
      </c>
      <c r="H19" s="35" t="str">
        <f>VLOOKUP(G19,ProductMaster!A:C,3,0)</f>
        <v>Books</v>
      </c>
      <c r="I19" s="49" t="s">
        <v>50</v>
      </c>
      <c r="J19" s="36">
        <v>70</v>
      </c>
      <c r="K19" s="36">
        <v>5</v>
      </c>
      <c r="L19" s="36">
        <v>350</v>
      </c>
      <c r="M19" s="35" t="s">
        <v>33</v>
      </c>
      <c r="N19" s="35" t="s">
        <v>29</v>
      </c>
      <c r="O19" s="35" t="s">
        <v>38</v>
      </c>
      <c r="Q19" s="17"/>
      <c r="X19" s="18"/>
      <c r="Y19" s="4"/>
      <c r="AD19" s="18"/>
      <c r="AJ19" s="16"/>
      <c r="AK19" s="14"/>
      <c r="AN19" s="15">
        <v>45258</v>
      </c>
      <c r="AO19" s="15"/>
    </row>
    <row r="20" spans="1:44" ht="18" customHeight="1" x14ac:dyDescent="0.35">
      <c r="A20" s="35" t="s">
        <v>77</v>
      </c>
      <c r="B20" s="46">
        <v>45163</v>
      </c>
      <c r="C20" s="46"/>
      <c r="D20" s="47"/>
      <c r="E20" s="46"/>
      <c r="F20" s="35" t="s">
        <v>78</v>
      </c>
      <c r="G20" s="35" t="s">
        <v>64</v>
      </c>
      <c r="H20" s="35" t="str">
        <f>VLOOKUP(G20,ProductMaster!A:C,3,0)</f>
        <v>Fashion</v>
      </c>
      <c r="I20" s="49" t="s">
        <v>28</v>
      </c>
      <c r="J20" s="36">
        <v>94</v>
      </c>
      <c r="K20" s="36">
        <v>4</v>
      </c>
      <c r="L20" s="36">
        <v>376</v>
      </c>
      <c r="M20" s="35" t="s">
        <v>24</v>
      </c>
      <c r="N20" s="35" t="s">
        <v>29</v>
      </c>
      <c r="O20" s="35" t="s">
        <v>30</v>
      </c>
      <c r="Q20" s="17"/>
      <c r="X20" s="18"/>
      <c r="Y20" s="4"/>
      <c r="AD20" s="18"/>
      <c r="AJ20" s="16"/>
      <c r="AK20" s="14"/>
      <c r="AN20" s="15">
        <v>45163</v>
      </c>
      <c r="AO20" s="15"/>
    </row>
    <row r="21" spans="1:44" ht="18" customHeight="1" x14ac:dyDescent="0.35">
      <c r="A21" s="35" t="s">
        <v>79</v>
      </c>
      <c r="B21" s="46">
        <v>45028</v>
      </c>
      <c r="C21" s="46"/>
      <c r="D21" s="47"/>
      <c r="E21" s="46"/>
      <c r="F21" s="35" t="s">
        <v>80</v>
      </c>
      <c r="G21" s="35" t="s">
        <v>81</v>
      </c>
      <c r="H21" s="35" t="str">
        <f>VLOOKUP(G21,ProductMaster!A:C,3,0)</f>
        <v>Electronics</v>
      </c>
      <c r="I21" s="49" t="s">
        <v>16</v>
      </c>
      <c r="J21" s="36">
        <v>813</v>
      </c>
      <c r="K21" s="36">
        <v>2</v>
      </c>
      <c r="L21" s="36">
        <v>1626</v>
      </c>
      <c r="M21" s="35" t="s">
        <v>24</v>
      </c>
      <c r="N21" s="35" t="s">
        <v>29</v>
      </c>
      <c r="O21" s="35" t="s">
        <v>61</v>
      </c>
      <c r="Q21" s="17"/>
      <c r="X21" s="18"/>
      <c r="Y21" s="4"/>
      <c r="AD21" s="18"/>
      <c r="AJ21" s="16"/>
      <c r="AK21" s="14"/>
      <c r="AN21" s="15">
        <v>45028</v>
      </c>
      <c r="AO21" s="15"/>
    </row>
    <row r="22" spans="1:44" ht="18" customHeight="1" x14ac:dyDescent="0.35">
      <c r="A22" s="35" t="s">
        <v>82</v>
      </c>
      <c r="B22" s="46">
        <v>45201</v>
      </c>
      <c r="C22" s="46"/>
      <c r="D22" s="47"/>
      <c r="E22" s="46"/>
      <c r="F22" s="35" t="s">
        <v>52</v>
      </c>
      <c r="G22" s="35" t="s">
        <v>73</v>
      </c>
      <c r="H22" s="35" t="str">
        <f>VLOOKUP(G22,ProductMaster!A:C,3,0)</f>
        <v>Books</v>
      </c>
      <c r="I22" s="49" t="s">
        <v>45</v>
      </c>
      <c r="J22" s="36">
        <v>21</v>
      </c>
      <c r="K22" s="36">
        <v>4</v>
      </c>
      <c r="L22" s="36">
        <v>84</v>
      </c>
      <c r="M22" s="35" t="s">
        <v>33</v>
      </c>
      <c r="N22" s="35" t="s">
        <v>29</v>
      </c>
      <c r="O22" s="35" t="s">
        <v>38</v>
      </c>
      <c r="Q22" s="17"/>
      <c r="X22" s="18"/>
      <c r="Y22" s="4"/>
      <c r="AD22" s="18"/>
      <c r="AJ22" s="16"/>
      <c r="AK22" s="14"/>
      <c r="AN22" s="15">
        <v>45201</v>
      </c>
      <c r="AO22" s="15"/>
    </row>
    <row r="23" spans="1:44" ht="18" customHeight="1" x14ac:dyDescent="0.35">
      <c r="A23" s="35" t="s">
        <v>83</v>
      </c>
      <c r="B23" s="46">
        <v>45239</v>
      </c>
      <c r="C23" s="46"/>
      <c r="D23" s="47"/>
      <c r="E23" s="46"/>
      <c r="F23" s="35" t="s">
        <v>63</v>
      </c>
      <c r="G23" s="35" t="s">
        <v>15</v>
      </c>
      <c r="H23" s="35" t="str">
        <f>VLOOKUP(G23,ProductMaster!A:C,3,0)</f>
        <v>Home</v>
      </c>
      <c r="I23" s="49" t="s">
        <v>50</v>
      </c>
      <c r="J23" s="36">
        <v>46</v>
      </c>
      <c r="K23" s="36">
        <v>5</v>
      </c>
      <c r="L23" s="36">
        <v>230</v>
      </c>
      <c r="M23" s="35" t="s">
        <v>33</v>
      </c>
      <c r="N23" s="35" t="s">
        <v>29</v>
      </c>
      <c r="O23" s="35" t="s">
        <v>30</v>
      </c>
      <c r="Q23" s="17"/>
      <c r="X23" s="18"/>
      <c r="Y23" s="4"/>
      <c r="AD23" s="18"/>
      <c r="AJ23" s="16"/>
      <c r="AK23" s="14"/>
      <c r="AN23" s="15">
        <v>45239</v>
      </c>
      <c r="AO23" s="15"/>
    </row>
    <row r="24" spans="1:44" ht="18" customHeight="1" x14ac:dyDescent="0.35">
      <c r="A24" s="35" t="s">
        <v>84</v>
      </c>
      <c r="B24" s="46">
        <v>44970</v>
      </c>
      <c r="C24" s="46"/>
      <c r="D24" s="47"/>
      <c r="E24" s="46">
        <v>44971</v>
      </c>
      <c r="F24" s="35" t="s">
        <v>85</v>
      </c>
      <c r="G24" s="35" t="s">
        <v>37</v>
      </c>
      <c r="H24" s="35" t="str">
        <f>VLOOKUP(G24,ProductMaster!A:C,3,0)</f>
        <v>Fashion</v>
      </c>
      <c r="I24" s="49" t="s">
        <v>50</v>
      </c>
      <c r="J24" s="36">
        <v>58</v>
      </c>
      <c r="K24" s="36">
        <v>3</v>
      </c>
      <c r="L24" s="36">
        <v>174</v>
      </c>
      <c r="M24" s="35" t="s">
        <v>41</v>
      </c>
      <c r="N24" s="35" t="s">
        <v>18</v>
      </c>
      <c r="O24" s="35" t="s">
        <v>38</v>
      </c>
      <c r="Q24" s="1"/>
      <c r="X24" s="18"/>
      <c r="Y24" s="4"/>
      <c r="AD24" s="18"/>
      <c r="AJ24" s="16"/>
      <c r="AK24" s="14"/>
      <c r="AN24" s="15">
        <v>44970</v>
      </c>
      <c r="AO24" s="15"/>
    </row>
    <row r="25" spans="1:44" ht="18" customHeight="1" x14ac:dyDescent="0.35">
      <c r="A25" s="35" t="s">
        <v>86</v>
      </c>
      <c r="B25" s="46">
        <v>45232</v>
      </c>
      <c r="C25" s="46">
        <v>45235</v>
      </c>
      <c r="D25" s="47">
        <v>3</v>
      </c>
      <c r="E25" s="46"/>
      <c r="F25" s="35" t="s">
        <v>87</v>
      </c>
      <c r="G25" s="35" t="s">
        <v>64</v>
      </c>
      <c r="H25" s="35" t="str">
        <f>VLOOKUP(G25,ProductMaster!A:C,3,0)</f>
        <v>Fashion</v>
      </c>
      <c r="I25" s="49" t="s">
        <v>50</v>
      </c>
      <c r="J25" s="36">
        <v>96</v>
      </c>
      <c r="K25" s="36">
        <v>5</v>
      </c>
      <c r="L25" s="36">
        <v>480</v>
      </c>
      <c r="M25" s="35" t="s">
        <v>41</v>
      </c>
      <c r="N25" s="35" t="s">
        <v>25</v>
      </c>
      <c r="O25" s="35" t="s">
        <v>38</v>
      </c>
      <c r="Q25" s="1"/>
      <c r="X25" s="18"/>
      <c r="Y25" s="4"/>
      <c r="AD25" s="18"/>
      <c r="AJ25" s="16"/>
      <c r="AK25" s="14"/>
      <c r="AN25" s="15">
        <v>45232</v>
      </c>
      <c r="AO25" s="15">
        <v>45235</v>
      </c>
      <c r="AR25">
        <f t="shared" si="0"/>
        <v>3</v>
      </c>
    </row>
    <row r="26" spans="1:44" ht="18" customHeight="1" x14ac:dyDescent="0.35">
      <c r="A26" s="35" t="s">
        <v>88</v>
      </c>
      <c r="B26" s="46">
        <v>45074</v>
      </c>
      <c r="C26" s="46">
        <v>45076</v>
      </c>
      <c r="D26" s="47">
        <v>2</v>
      </c>
      <c r="E26" s="46"/>
      <c r="F26" s="35" t="s">
        <v>89</v>
      </c>
      <c r="G26" s="35" t="s">
        <v>90</v>
      </c>
      <c r="H26" s="35" t="str">
        <f>VLOOKUP(G26,ProductMaster!A:C,3,0)</f>
        <v>Toys</v>
      </c>
      <c r="I26" s="49" t="s">
        <v>28</v>
      </c>
      <c r="J26" s="36">
        <v>43</v>
      </c>
      <c r="K26" s="36">
        <v>1</v>
      </c>
      <c r="L26" s="36">
        <v>43</v>
      </c>
      <c r="M26" s="35" t="s">
        <v>46</v>
      </c>
      <c r="N26" s="35" t="s">
        <v>25</v>
      </c>
      <c r="O26" s="35" t="s">
        <v>38</v>
      </c>
      <c r="Q26" s="1"/>
      <c r="X26" s="18"/>
      <c r="Y26" s="4"/>
      <c r="AD26" s="18"/>
      <c r="AJ26" s="16"/>
      <c r="AK26" s="14"/>
      <c r="AN26" s="15">
        <v>45074</v>
      </c>
      <c r="AO26" s="15">
        <v>45076</v>
      </c>
      <c r="AR26">
        <f t="shared" si="0"/>
        <v>2</v>
      </c>
    </row>
    <row r="27" spans="1:44" ht="18" customHeight="1" x14ac:dyDescent="0.35">
      <c r="A27" s="35" t="s">
        <v>91</v>
      </c>
      <c r="B27" s="46">
        <v>45214</v>
      </c>
      <c r="C27" s="46">
        <v>45220</v>
      </c>
      <c r="D27" s="47">
        <v>6</v>
      </c>
      <c r="E27" s="46"/>
      <c r="F27" s="35" t="s">
        <v>36</v>
      </c>
      <c r="G27" s="35" t="s">
        <v>92</v>
      </c>
      <c r="H27" s="35" t="str">
        <f>VLOOKUP(G27,ProductMaster!A:C,3,0)</f>
        <v>Fashion</v>
      </c>
      <c r="I27" s="49" t="s">
        <v>28</v>
      </c>
      <c r="J27" s="36">
        <v>64</v>
      </c>
      <c r="K27" s="36">
        <v>4</v>
      </c>
      <c r="L27" s="36">
        <v>256</v>
      </c>
      <c r="M27" s="35" t="s">
        <v>46</v>
      </c>
      <c r="N27" s="35" t="s">
        <v>25</v>
      </c>
      <c r="O27" s="35" t="s">
        <v>30</v>
      </c>
      <c r="Q27" s="1"/>
      <c r="X27" s="18"/>
      <c r="Y27" s="4"/>
      <c r="AD27" s="18"/>
      <c r="AJ27" s="16"/>
      <c r="AK27" s="14"/>
      <c r="AN27" s="15">
        <v>45214</v>
      </c>
      <c r="AO27" s="15">
        <v>45220</v>
      </c>
      <c r="AR27">
        <f t="shared" si="0"/>
        <v>6</v>
      </c>
    </row>
    <row r="28" spans="1:44" ht="18" customHeight="1" x14ac:dyDescent="0.35">
      <c r="A28" s="35" t="s">
        <v>93</v>
      </c>
      <c r="B28" s="46">
        <v>44942</v>
      </c>
      <c r="C28" s="46"/>
      <c r="D28" s="47"/>
      <c r="E28" s="46"/>
      <c r="F28" s="35" t="s">
        <v>94</v>
      </c>
      <c r="G28" s="35" t="s">
        <v>76</v>
      </c>
      <c r="H28" s="35" t="str">
        <f>VLOOKUP(G28,ProductMaster!A:C,3,0)</f>
        <v>Books</v>
      </c>
      <c r="I28" s="49" t="s">
        <v>28</v>
      </c>
      <c r="J28" s="36">
        <v>70</v>
      </c>
      <c r="K28" s="36">
        <v>2</v>
      </c>
      <c r="L28" s="36">
        <v>140</v>
      </c>
      <c r="M28" s="35" t="s">
        <v>41</v>
      </c>
      <c r="N28" s="35" t="s">
        <v>29</v>
      </c>
      <c r="O28" s="35" t="s">
        <v>38</v>
      </c>
      <c r="Q28" s="1"/>
      <c r="X28" s="18"/>
      <c r="Y28" s="4"/>
      <c r="AD28" s="18"/>
      <c r="AJ28" s="16"/>
      <c r="AK28" s="14"/>
      <c r="AN28" s="15">
        <v>44942</v>
      </c>
      <c r="AO28" s="15"/>
    </row>
    <row r="29" spans="1:44" ht="18" customHeight="1" x14ac:dyDescent="0.35">
      <c r="A29" s="35" t="s">
        <v>95</v>
      </c>
      <c r="B29" s="46">
        <v>45208</v>
      </c>
      <c r="C29" s="46"/>
      <c r="D29" s="47"/>
      <c r="E29" s="46"/>
      <c r="F29" s="35" t="s">
        <v>94</v>
      </c>
      <c r="G29" s="35" t="s">
        <v>22</v>
      </c>
      <c r="H29" s="35" t="str">
        <f>VLOOKUP(G29,ProductMaster!A:C,3,0)</f>
        <v>Toys</v>
      </c>
      <c r="I29" s="49" t="s">
        <v>45</v>
      </c>
      <c r="J29" s="36">
        <v>97</v>
      </c>
      <c r="K29" s="36">
        <v>3</v>
      </c>
      <c r="L29" s="36">
        <v>291</v>
      </c>
      <c r="M29" s="35" t="s">
        <v>24</v>
      </c>
      <c r="N29" s="35" t="s">
        <v>29</v>
      </c>
      <c r="O29" s="35" t="s">
        <v>38</v>
      </c>
      <c r="Q29" s="1"/>
      <c r="X29" s="18"/>
      <c r="Y29" s="4"/>
      <c r="AD29" s="18"/>
      <c r="AJ29" s="16"/>
      <c r="AK29" s="14"/>
      <c r="AN29" s="15">
        <v>45208</v>
      </c>
      <c r="AO29" s="15"/>
    </row>
    <row r="30" spans="1:44" ht="18" customHeight="1" x14ac:dyDescent="0.35">
      <c r="A30" s="35" t="s">
        <v>96</v>
      </c>
      <c r="B30" s="46">
        <v>45206</v>
      </c>
      <c r="C30" s="46"/>
      <c r="D30" s="47"/>
      <c r="E30" s="46">
        <v>45209</v>
      </c>
      <c r="F30" s="35" t="s">
        <v>97</v>
      </c>
      <c r="G30" s="35" t="s">
        <v>49</v>
      </c>
      <c r="H30" s="35" t="str">
        <f>VLOOKUP(G30,ProductMaster!A:C,3,0)</f>
        <v>Home</v>
      </c>
      <c r="I30" s="49" t="s">
        <v>23</v>
      </c>
      <c r="J30" s="36">
        <v>37</v>
      </c>
      <c r="K30" s="36">
        <v>3</v>
      </c>
      <c r="L30" s="36">
        <v>111</v>
      </c>
      <c r="M30" s="35" t="s">
        <v>17</v>
      </c>
      <c r="N30" s="35" t="s">
        <v>18</v>
      </c>
      <c r="O30" s="35" t="s">
        <v>19</v>
      </c>
      <c r="Q30" s="1"/>
      <c r="X30" s="18"/>
      <c r="Y30" s="4"/>
      <c r="AD30" s="18"/>
      <c r="AJ30" s="16"/>
      <c r="AK30" s="14"/>
      <c r="AN30" s="15">
        <v>45206</v>
      </c>
      <c r="AO30" s="15"/>
    </row>
    <row r="31" spans="1:44" ht="18" customHeight="1" x14ac:dyDescent="0.35">
      <c r="A31" s="35" t="s">
        <v>98</v>
      </c>
      <c r="B31" s="46">
        <v>44971</v>
      </c>
      <c r="C31" s="46"/>
      <c r="D31" s="47"/>
      <c r="E31" s="46"/>
      <c r="F31" s="35" t="s">
        <v>99</v>
      </c>
      <c r="G31" s="35" t="s">
        <v>76</v>
      </c>
      <c r="H31" s="35" t="str">
        <f>VLOOKUP(G31,ProductMaster!A:C,3,0)</f>
        <v>Books</v>
      </c>
      <c r="I31" s="49" t="s">
        <v>16</v>
      </c>
      <c r="J31" s="36">
        <v>69</v>
      </c>
      <c r="K31" s="36">
        <v>5</v>
      </c>
      <c r="L31" s="36">
        <v>345</v>
      </c>
      <c r="M31" s="35" t="s">
        <v>41</v>
      </c>
      <c r="N31" s="35" t="s">
        <v>29</v>
      </c>
      <c r="O31" s="35" t="s">
        <v>38</v>
      </c>
      <c r="Q31" s="1"/>
      <c r="X31" s="18"/>
      <c r="Y31" s="4"/>
      <c r="AD31" s="18"/>
      <c r="AJ31" s="16"/>
      <c r="AK31" s="14"/>
      <c r="AN31" s="15">
        <v>44971</v>
      </c>
      <c r="AO31" s="15"/>
    </row>
    <row r="32" spans="1:44" ht="18" customHeight="1" x14ac:dyDescent="0.35">
      <c r="A32" s="35" t="s">
        <v>100</v>
      </c>
      <c r="B32" s="46">
        <v>45011</v>
      </c>
      <c r="C32" s="46"/>
      <c r="D32" s="47"/>
      <c r="E32" s="46"/>
      <c r="F32" s="35" t="s">
        <v>101</v>
      </c>
      <c r="G32" s="35" t="s">
        <v>90</v>
      </c>
      <c r="H32" s="35" t="str">
        <f>VLOOKUP(G32,ProductMaster!A:C,3,0)</f>
        <v>Toys</v>
      </c>
      <c r="I32" s="49" t="s">
        <v>16</v>
      </c>
      <c r="J32" s="36">
        <v>42</v>
      </c>
      <c r="K32" s="36">
        <v>5</v>
      </c>
      <c r="L32" s="36">
        <v>210</v>
      </c>
      <c r="M32" s="35" t="s">
        <v>41</v>
      </c>
      <c r="N32" s="35" t="s">
        <v>29</v>
      </c>
      <c r="O32" s="35" t="s">
        <v>34</v>
      </c>
      <c r="Q32" s="1"/>
      <c r="X32" s="18"/>
      <c r="Y32" s="4"/>
      <c r="AD32" s="18"/>
      <c r="AJ32" s="16"/>
      <c r="AK32" s="14"/>
      <c r="AN32" s="15">
        <v>45011</v>
      </c>
      <c r="AO32" s="15"/>
    </row>
    <row r="33" spans="1:44" ht="18" customHeight="1" x14ac:dyDescent="0.35">
      <c r="A33" s="35" t="s">
        <v>102</v>
      </c>
      <c r="B33" s="46">
        <v>45092</v>
      </c>
      <c r="C33" s="46"/>
      <c r="D33" s="47"/>
      <c r="E33" s="46">
        <v>45099</v>
      </c>
      <c r="F33" s="35" t="s">
        <v>103</v>
      </c>
      <c r="G33" s="35" t="s">
        <v>104</v>
      </c>
      <c r="H33" s="35" t="str">
        <f>VLOOKUP(G33,ProductMaster!A:C,3,0)</f>
        <v>Books</v>
      </c>
      <c r="I33" s="49" t="s">
        <v>23</v>
      </c>
      <c r="J33" s="36">
        <v>11</v>
      </c>
      <c r="K33" s="36">
        <v>5</v>
      </c>
      <c r="L33" s="36">
        <v>55</v>
      </c>
      <c r="M33" s="35" t="s">
        <v>46</v>
      </c>
      <c r="N33" s="35" t="s">
        <v>18</v>
      </c>
      <c r="O33" s="35" t="s">
        <v>61</v>
      </c>
      <c r="Q33" s="1"/>
      <c r="X33" s="18"/>
      <c r="Y33" s="4"/>
      <c r="AD33" s="18"/>
      <c r="AJ33" s="16"/>
      <c r="AK33" s="14"/>
      <c r="AN33" s="15">
        <v>45092</v>
      </c>
      <c r="AO33" s="15"/>
    </row>
    <row r="34" spans="1:44" ht="18" customHeight="1" x14ac:dyDescent="0.35">
      <c r="A34" s="35" t="s">
        <v>105</v>
      </c>
      <c r="B34" s="46">
        <v>45068</v>
      </c>
      <c r="C34" s="46">
        <v>45069</v>
      </c>
      <c r="D34" s="47">
        <v>1</v>
      </c>
      <c r="E34" s="46"/>
      <c r="F34" s="35" t="s">
        <v>85</v>
      </c>
      <c r="G34" s="35" t="s">
        <v>69</v>
      </c>
      <c r="H34" s="35" t="str">
        <f>VLOOKUP(G34,ProductMaster!A:C,3,0)</f>
        <v>Fashion</v>
      </c>
      <c r="I34" s="49" t="s">
        <v>28</v>
      </c>
      <c r="J34" s="36">
        <v>27</v>
      </c>
      <c r="K34" s="36">
        <v>2</v>
      </c>
      <c r="L34" s="36">
        <v>54</v>
      </c>
      <c r="M34" s="35" t="s">
        <v>17</v>
      </c>
      <c r="N34" s="35" t="s">
        <v>25</v>
      </c>
      <c r="O34" s="35" t="s">
        <v>30</v>
      </c>
      <c r="Q34" s="1"/>
      <c r="X34" s="18"/>
      <c r="Y34" s="4"/>
      <c r="AD34" s="18"/>
      <c r="AJ34" s="16"/>
      <c r="AK34" s="14"/>
      <c r="AN34" s="15">
        <v>45068</v>
      </c>
      <c r="AO34" s="15">
        <v>45069</v>
      </c>
      <c r="AR34">
        <f t="shared" si="0"/>
        <v>1</v>
      </c>
    </row>
    <row r="35" spans="1:44" ht="18" customHeight="1" x14ac:dyDescent="0.35">
      <c r="A35" s="35" t="s">
        <v>106</v>
      </c>
      <c r="B35" s="46">
        <v>45250</v>
      </c>
      <c r="C35" s="46"/>
      <c r="D35" s="47"/>
      <c r="E35" s="46"/>
      <c r="F35" s="35" t="s">
        <v>80</v>
      </c>
      <c r="G35" s="35" t="s">
        <v>73</v>
      </c>
      <c r="H35" s="35" t="str">
        <f>VLOOKUP(G35,ProductMaster!A:C,3,0)</f>
        <v>Books</v>
      </c>
      <c r="I35" s="49" t="s">
        <v>28</v>
      </c>
      <c r="J35" s="36">
        <v>21</v>
      </c>
      <c r="K35" s="36">
        <v>1</v>
      </c>
      <c r="L35" s="36">
        <v>21</v>
      </c>
      <c r="M35" s="35" t="s">
        <v>41</v>
      </c>
      <c r="N35" s="35" t="s">
        <v>29</v>
      </c>
      <c r="O35" s="35" t="s">
        <v>19</v>
      </c>
      <c r="Q35" s="1"/>
      <c r="X35" s="18"/>
      <c r="Y35" s="4"/>
      <c r="AD35" s="18"/>
      <c r="AJ35" s="16"/>
      <c r="AK35" s="14"/>
      <c r="AN35" s="15">
        <v>45250</v>
      </c>
      <c r="AO35" s="15"/>
    </row>
    <row r="36" spans="1:44" ht="18" customHeight="1" x14ac:dyDescent="0.35">
      <c r="A36" s="35" t="s">
        <v>107</v>
      </c>
      <c r="B36" s="46">
        <v>45282</v>
      </c>
      <c r="C36" s="46">
        <v>45286</v>
      </c>
      <c r="D36" s="47">
        <v>4</v>
      </c>
      <c r="E36" s="46"/>
      <c r="F36" s="35" t="s">
        <v>108</v>
      </c>
      <c r="G36" s="35" t="s">
        <v>109</v>
      </c>
      <c r="H36" s="35" t="str">
        <f>VLOOKUP(G36,ProductMaster!A:C,3,0)</f>
        <v>Electronics</v>
      </c>
      <c r="I36" s="49" t="s">
        <v>28</v>
      </c>
      <c r="J36" s="36">
        <v>172</v>
      </c>
      <c r="K36" s="36">
        <v>1</v>
      </c>
      <c r="L36" s="36">
        <v>172</v>
      </c>
      <c r="M36" s="35" t="s">
        <v>33</v>
      </c>
      <c r="N36" s="35" t="s">
        <v>25</v>
      </c>
      <c r="O36" s="35" t="s">
        <v>30</v>
      </c>
      <c r="Q36" s="1"/>
      <c r="X36" s="18"/>
      <c r="Y36" s="4"/>
      <c r="AD36" s="18"/>
      <c r="AJ36" s="16"/>
      <c r="AK36" s="14"/>
      <c r="AN36" s="15">
        <v>45282</v>
      </c>
      <c r="AO36" s="15">
        <v>45286</v>
      </c>
      <c r="AR36">
        <f t="shared" si="0"/>
        <v>4</v>
      </c>
    </row>
    <row r="37" spans="1:44" ht="18" customHeight="1" x14ac:dyDescent="0.35">
      <c r="A37" s="35" t="s">
        <v>110</v>
      </c>
      <c r="B37" s="46">
        <v>45130</v>
      </c>
      <c r="C37" s="46"/>
      <c r="D37" s="47"/>
      <c r="E37" s="46"/>
      <c r="F37" s="35" t="s">
        <v>101</v>
      </c>
      <c r="G37" s="35" t="s">
        <v>111</v>
      </c>
      <c r="H37" s="35" t="str">
        <f>VLOOKUP(G37,ProductMaster!A:C,3,0)</f>
        <v>Home</v>
      </c>
      <c r="I37" s="49" t="s">
        <v>16</v>
      </c>
      <c r="J37" s="36">
        <v>212</v>
      </c>
      <c r="K37" s="36">
        <v>3</v>
      </c>
      <c r="L37" s="36">
        <v>636</v>
      </c>
      <c r="M37" s="35" t="s">
        <v>41</v>
      </c>
      <c r="N37" s="35" t="s">
        <v>29</v>
      </c>
      <c r="O37" s="35" t="s">
        <v>34</v>
      </c>
      <c r="Q37" s="1"/>
      <c r="X37" s="18"/>
      <c r="Y37" s="4"/>
      <c r="AD37" s="18"/>
      <c r="AJ37" s="16"/>
      <c r="AK37" s="14"/>
      <c r="AN37" s="15">
        <v>45130</v>
      </c>
      <c r="AO37" s="15"/>
    </row>
    <row r="38" spans="1:44" ht="18" customHeight="1" x14ac:dyDescent="0.35">
      <c r="A38" s="35" t="s">
        <v>112</v>
      </c>
      <c r="B38" s="46">
        <v>45216</v>
      </c>
      <c r="C38" s="46">
        <v>45221</v>
      </c>
      <c r="D38" s="47">
        <v>5</v>
      </c>
      <c r="E38" s="46"/>
      <c r="F38" s="35" t="s">
        <v>32</v>
      </c>
      <c r="G38" s="35" t="s">
        <v>90</v>
      </c>
      <c r="H38" s="35" t="str">
        <f>VLOOKUP(G38,ProductMaster!A:C,3,0)</f>
        <v>Toys</v>
      </c>
      <c r="I38" s="49" t="s">
        <v>23</v>
      </c>
      <c r="J38" s="36">
        <v>41</v>
      </c>
      <c r="K38" s="36">
        <v>4</v>
      </c>
      <c r="L38" s="36">
        <v>164</v>
      </c>
      <c r="M38" s="35" t="s">
        <v>24</v>
      </c>
      <c r="N38" s="35" t="s">
        <v>25</v>
      </c>
      <c r="O38" s="35" t="s">
        <v>38</v>
      </c>
      <c r="Q38" s="1"/>
      <c r="X38" s="18"/>
      <c r="Y38" s="4"/>
      <c r="AD38" s="18"/>
      <c r="AJ38" s="16"/>
      <c r="AK38" s="14"/>
      <c r="AN38" s="15">
        <v>45216</v>
      </c>
      <c r="AO38" s="15">
        <v>45221</v>
      </c>
      <c r="AR38">
        <f t="shared" si="0"/>
        <v>5</v>
      </c>
    </row>
    <row r="39" spans="1:44" ht="18" customHeight="1" x14ac:dyDescent="0.35">
      <c r="A39" s="35" t="s">
        <v>113</v>
      </c>
      <c r="B39" s="46">
        <v>45160</v>
      </c>
      <c r="C39" s="46"/>
      <c r="D39" s="47"/>
      <c r="E39" s="46">
        <v>45162</v>
      </c>
      <c r="F39" s="35" t="s">
        <v>87</v>
      </c>
      <c r="G39" s="35" t="s">
        <v>114</v>
      </c>
      <c r="H39" s="35" t="str">
        <f>VLOOKUP(G39,ProductMaster!A:C,3,0)</f>
        <v>Toys</v>
      </c>
      <c r="I39" s="49" t="s">
        <v>16</v>
      </c>
      <c r="J39" s="36">
        <v>32</v>
      </c>
      <c r="K39" s="36">
        <v>2</v>
      </c>
      <c r="L39" s="36">
        <v>64</v>
      </c>
      <c r="M39" s="35" t="s">
        <v>46</v>
      </c>
      <c r="N39" s="35" t="s">
        <v>18</v>
      </c>
      <c r="O39" s="35" t="s">
        <v>61</v>
      </c>
      <c r="Q39" s="1"/>
      <c r="X39" s="18"/>
      <c r="Y39" s="4"/>
      <c r="AD39" s="18"/>
      <c r="AJ39" s="16"/>
      <c r="AK39" s="14"/>
      <c r="AN39" s="15">
        <v>45160</v>
      </c>
      <c r="AO39" s="15"/>
    </row>
    <row r="40" spans="1:44" ht="18" customHeight="1" x14ac:dyDescent="0.35">
      <c r="A40" s="35" t="s">
        <v>115</v>
      </c>
      <c r="B40" s="46">
        <v>45262</v>
      </c>
      <c r="C40" s="46"/>
      <c r="D40" s="47"/>
      <c r="E40" s="46"/>
      <c r="F40" s="35" t="s">
        <v>116</v>
      </c>
      <c r="G40" s="35" t="s">
        <v>92</v>
      </c>
      <c r="H40" s="35" t="str">
        <f>VLOOKUP(G40,ProductMaster!A:C,3,0)</f>
        <v>Fashion</v>
      </c>
      <c r="I40" s="49" t="s">
        <v>23</v>
      </c>
      <c r="J40" s="36">
        <v>66</v>
      </c>
      <c r="K40" s="36">
        <v>2</v>
      </c>
      <c r="L40" s="36">
        <v>132</v>
      </c>
      <c r="M40" s="35" t="s">
        <v>17</v>
      </c>
      <c r="N40" s="35" t="s">
        <v>29</v>
      </c>
      <c r="O40" s="35" t="s">
        <v>19</v>
      </c>
      <c r="Q40" s="1"/>
      <c r="X40" s="18"/>
      <c r="Y40" s="4"/>
      <c r="AD40" s="18"/>
      <c r="AJ40" s="16"/>
      <c r="AK40" s="14"/>
      <c r="AN40" s="15">
        <v>45262</v>
      </c>
      <c r="AO40" s="15"/>
    </row>
    <row r="41" spans="1:44" ht="18" customHeight="1" x14ac:dyDescent="0.35">
      <c r="A41" s="35" t="s">
        <v>117</v>
      </c>
      <c r="B41" s="46">
        <v>45285</v>
      </c>
      <c r="C41" s="46"/>
      <c r="D41" s="47"/>
      <c r="E41" s="46"/>
      <c r="F41" s="35" t="s">
        <v>118</v>
      </c>
      <c r="G41" s="35" t="s">
        <v>119</v>
      </c>
      <c r="H41" s="35" t="str">
        <f>VLOOKUP(G41,ProductMaster!A:C,3,0)</f>
        <v>Toys</v>
      </c>
      <c r="I41" s="49" t="s">
        <v>23</v>
      </c>
      <c r="J41" s="36">
        <v>62</v>
      </c>
      <c r="K41" s="36">
        <v>4</v>
      </c>
      <c r="L41" s="36">
        <v>248</v>
      </c>
      <c r="M41" s="35" t="s">
        <v>46</v>
      </c>
      <c r="N41" s="35" t="s">
        <v>29</v>
      </c>
      <c r="O41" s="35" t="s">
        <v>34</v>
      </c>
      <c r="Q41" s="1"/>
      <c r="X41" s="18"/>
      <c r="Y41" s="4"/>
      <c r="AD41" s="18"/>
      <c r="AJ41" s="16"/>
      <c r="AK41" s="14"/>
      <c r="AN41" s="15">
        <v>45285</v>
      </c>
      <c r="AO41" s="15"/>
    </row>
    <row r="42" spans="1:44" ht="18" customHeight="1" x14ac:dyDescent="0.35">
      <c r="A42" s="35" t="s">
        <v>120</v>
      </c>
      <c r="B42" s="46">
        <v>45192</v>
      </c>
      <c r="C42" s="46">
        <v>45199</v>
      </c>
      <c r="D42" s="47">
        <v>7</v>
      </c>
      <c r="E42" s="46"/>
      <c r="F42" s="35" t="s">
        <v>121</v>
      </c>
      <c r="G42" s="35" t="s">
        <v>109</v>
      </c>
      <c r="H42" s="35" t="str">
        <f>VLOOKUP(G42,ProductMaster!A:C,3,0)</f>
        <v>Electronics</v>
      </c>
      <c r="I42" s="49" t="s">
        <v>50</v>
      </c>
      <c r="J42" s="36">
        <v>173</v>
      </c>
      <c r="K42" s="36">
        <v>4</v>
      </c>
      <c r="L42" s="36">
        <v>692</v>
      </c>
      <c r="M42" s="35" t="s">
        <v>17</v>
      </c>
      <c r="N42" s="35" t="s">
        <v>25</v>
      </c>
      <c r="O42" s="35" t="s">
        <v>34</v>
      </c>
      <c r="Q42" s="1"/>
      <c r="X42" s="18"/>
      <c r="Y42" s="4"/>
      <c r="AD42" s="18"/>
      <c r="AJ42" s="16"/>
      <c r="AK42" s="14"/>
      <c r="AN42" s="15">
        <v>45192</v>
      </c>
      <c r="AO42" s="15">
        <v>45199</v>
      </c>
      <c r="AR42">
        <f t="shared" si="0"/>
        <v>7</v>
      </c>
    </row>
    <row r="43" spans="1:44" ht="18" customHeight="1" x14ac:dyDescent="0.35">
      <c r="A43" s="35" t="s">
        <v>122</v>
      </c>
      <c r="B43" s="46">
        <v>45123</v>
      </c>
      <c r="C43" s="46">
        <v>45125</v>
      </c>
      <c r="D43" s="47">
        <v>2</v>
      </c>
      <c r="E43" s="46"/>
      <c r="F43" s="35" t="s">
        <v>97</v>
      </c>
      <c r="G43" s="35" t="s">
        <v>119</v>
      </c>
      <c r="H43" s="35" t="str">
        <f>VLOOKUP(G43,ProductMaster!A:C,3,0)</f>
        <v>Toys</v>
      </c>
      <c r="I43" s="49" t="s">
        <v>50</v>
      </c>
      <c r="J43" s="36">
        <v>63</v>
      </c>
      <c r="K43" s="36">
        <v>3</v>
      </c>
      <c r="L43" s="36">
        <v>189</v>
      </c>
      <c r="M43" s="35" t="s">
        <v>17</v>
      </c>
      <c r="N43" s="35" t="s">
        <v>25</v>
      </c>
      <c r="O43" s="35" t="s">
        <v>34</v>
      </c>
      <c r="Q43" s="1"/>
      <c r="X43" s="18"/>
      <c r="Y43" s="4"/>
      <c r="AD43" s="18"/>
      <c r="AJ43" s="16"/>
      <c r="AK43" s="14"/>
      <c r="AN43" s="15">
        <v>45123</v>
      </c>
      <c r="AO43" s="15">
        <v>45125</v>
      </c>
      <c r="AR43">
        <f t="shared" si="0"/>
        <v>2</v>
      </c>
    </row>
    <row r="44" spans="1:44" ht="18" customHeight="1" x14ac:dyDescent="0.35">
      <c r="A44" s="35" t="s">
        <v>123</v>
      </c>
      <c r="B44" s="46">
        <v>44962</v>
      </c>
      <c r="C44" s="46"/>
      <c r="D44" s="47"/>
      <c r="E44" s="46">
        <v>44968</v>
      </c>
      <c r="F44" s="35" t="s">
        <v>89</v>
      </c>
      <c r="G44" s="35" t="s">
        <v>49</v>
      </c>
      <c r="H44" s="35" t="str">
        <f>VLOOKUP(G44,ProductMaster!A:C,3,0)</f>
        <v>Home</v>
      </c>
      <c r="I44" s="49" t="s">
        <v>50</v>
      </c>
      <c r="J44" s="36">
        <v>36</v>
      </c>
      <c r="K44" s="36">
        <v>3</v>
      </c>
      <c r="L44" s="36">
        <v>108</v>
      </c>
      <c r="M44" s="35" t="s">
        <v>46</v>
      </c>
      <c r="N44" s="35" t="s">
        <v>18</v>
      </c>
      <c r="O44" s="35" t="s">
        <v>30</v>
      </c>
      <c r="Q44" s="1"/>
      <c r="X44" s="18"/>
      <c r="Y44" s="4"/>
      <c r="AD44" s="18"/>
      <c r="AJ44" s="16"/>
      <c r="AK44" s="14"/>
      <c r="AN44" s="15">
        <v>44962</v>
      </c>
      <c r="AO44" s="15"/>
    </row>
    <row r="45" spans="1:44" ht="18" customHeight="1" x14ac:dyDescent="0.35">
      <c r="A45" s="35" t="s">
        <v>124</v>
      </c>
      <c r="B45" s="46">
        <v>45278</v>
      </c>
      <c r="C45" s="46"/>
      <c r="D45" s="47"/>
      <c r="E45" s="46">
        <v>45283</v>
      </c>
      <c r="F45" s="35" t="s">
        <v>118</v>
      </c>
      <c r="G45" s="35" t="s">
        <v>119</v>
      </c>
      <c r="H45" s="35" t="str">
        <f>VLOOKUP(G45,ProductMaster!A:C,3,0)</f>
        <v>Toys</v>
      </c>
      <c r="I45" s="49" t="s">
        <v>45</v>
      </c>
      <c r="J45" s="36">
        <v>62</v>
      </c>
      <c r="K45" s="36">
        <v>1</v>
      </c>
      <c r="L45" s="36">
        <v>62</v>
      </c>
      <c r="M45" s="35" t="s">
        <v>17</v>
      </c>
      <c r="N45" s="35" t="s">
        <v>18</v>
      </c>
      <c r="O45" s="35" t="s">
        <v>38</v>
      </c>
      <c r="Q45" s="1"/>
      <c r="X45" s="18"/>
      <c r="Y45" s="4"/>
      <c r="AD45" s="18"/>
      <c r="AJ45" s="16"/>
      <c r="AK45" s="14"/>
      <c r="AN45" s="15">
        <v>45278</v>
      </c>
      <c r="AO45" s="15"/>
    </row>
    <row r="46" spans="1:44" ht="18" customHeight="1" x14ac:dyDescent="0.35">
      <c r="A46" s="35" t="s">
        <v>125</v>
      </c>
      <c r="B46" s="46">
        <v>45088</v>
      </c>
      <c r="C46" s="46"/>
      <c r="D46" s="47"/>
      <c r="E46" s="46">
        <v>45091</v>
      </c>
      <c r="F46" s="35" t="s">
        <v>43</v>
      </c>
      <c r="G46" s="35" t="s">
        <v>55</v>
      </c>
      <c r="H46" s="35" t="str">
        <f>VLOOKUP(G46,ProductMaster!A:C,3,0)</f>
        <v>Home</v>
      </c>
      <c r="I46" s="49" t="s">
        <v>45</v>
      </c>
      <c r="J46" s="36">
        <v>137</v>
      </c>
      <c r="K46" s="36">
        <v>5</v>
      </c>
      <c r="L46" s="36">
        <v>685</v>
      </c>
      <c r="M46" s="35" t="s">
        <v>41</v>
      </c>
      <c r="N46" s="35" t="s">
        <v>18</v>
      </c>
      <c r="O46" s="35" t="s">
        <v>61</v>
      </c>
      <c r="Q46" s="1"/>
      <c r="X46" s="18"/>
      <c r="Y46" s="4"/>
      <c r="AD46" s="18"/>
      <c r="AJ46" s="16"/>
      <c r="AK46" s="14"/>
      <c r="AN46" s="15">
        <v>45088</v>
      </c>
      <c r="AO46" s="15"/>
    </row>
    <row r="47" spans="1:44" ht="18" customHeight="1" x14ac:dyDescent="0.35">
      <c r="A47" s="35" t="s">
        <v>126</v>
      </c>
      <c r="B47" s="46">
        <v>45264</v>
      </c>
      <c r="C47" s="46">
        <v>45268</v>
      </c>
      <c r="D47" s="47">
        <v>4</v>
      </c>
      <c r="E47" s="46"/>
      <c r="F47" s="35" t="s">
        <v>127</v>
      </c>
      <c r="G47" s="35" t="s">
        <v>67</v>
      </c>
      <c r="H47" s="35" t="str">
        <f>VLOOKUP(G47,ProductMaster!A:C,3,0)</f>
        <v>Electronics</v>
      </c>
      <c r="I47" s="49" t="s">
        <v>16</v>
      </c>
      <c r="J47" s="36">
        <v>73</v>
      </c>
      <c r="K47" s="36">
        <v>4</v>
      </c>
      <c r="L47" s="36">
        <v>292</v>
      </c>
      <c r="M47" s="35" t="s">
        <v>24</v>
      </c>
      <c r="N47" s="35" t="s">
        <v>25</v>
      </c>
      <c r="O47" s="35" t="s">
        <v>38</v>
      </c>
      <c r="Q47" s="1"/>
      <c r="X47" s="18"/>
      <c r="Y47" s="4"/>
      <c r="AD47" s="18"/>
      <c r="AJ47" s="16"/>
      <c r="AK47" s="14"/>
      <c r="AN47" s="15">
        <v>45264</v>
      </c>
      <c r="AO47" s="15">
        <v>45268</v>
      </c>
      <c r="AR47">
        <f t="shared" si="0"/>
        <v>4</v>
      </c>
    </row>
    <row r="48" spans="1:44" ht="18" customHeight="1" x14ac:dyDescent="0.35">
      <c r="A48" s="35" t="s">
        <v>128</v>
      </c>
      <c r="B48" s="46">
        <v>45124</v>
      </c>
      <c r="C48" s="46">
        <v>45126</v>
      </c>
      <c r="D48" s="47">
        <v>2</v>
      </c>
      <c r="E48" s="46"/>
      <c r="F48" s="35" t="s">
        <v>78</v>
      </c>
      <c r="G48" s="35" t="s">
        <v>44</v>
      </c>
      <c r="H48" s="35" t="str">
        <f>VLOOKUP(G48,ProductMaster!A:C,3,0)</f>
        <v>Electronics</v>
      </c>
      <c r="I48" s="49" t="s">
        <v>16</v>
      </c>
      <c r="J48" s="36">
        <v>104</v>
      </c>
      <c r="K48" s="36">
        <v>1</v>
      </c>
      <c r="L48" s="36">
        <v>104</v>
      </c>
      <c r="M48" s="35" t="s">
        <v>33</v>
      </c>
      <c r="N48" s="35" t="s">
        <v>25</v>
      </c>
      <c r="O48" s="35" t="s">
        <v>38</v>
      </c>
      <c r="Q48" s="1"/>
      <c r="X48" s="18"/>
      <c r="Y48" s="4"/>
      <c r="AD48" s="18"/>
      <c r="AJ48" s="16"/>
      <c r="AK48" s="14"/>
      <c r="AN48" s="15">
        <v>45124</v>
      </c>
      <c r="AO48" s="15">
        <v>45126</v>
      </c>
      <c r="AR48">
        <f t="shared" si="0"/>
        <v>2</v>
      </c>
    </row>
    <row r="49" spans="1:44" ht="18" customHeight="1" x14ac:dyDescent="0.35">
      <c r="A49" s="35" t="s">
        <v>129</v>
      </c>
      <c r="B49" s="46">
        <v>45218</v>
      </c>
      <c r="C49" s="46">
        <v>45223</v>
      </c>
      <c r="D49" s="47">
        <v>5</v>
      </c>
      <c r="E49" s="46"/>
      <c r="F49" s="35" t="s">
        <v>32</v>
      </c>
      <c r="G49" s="35" t="s">
        <v>64</v>
      </c>
      <c r="H49" s="35" t="str">
        <f>VLOOKUP(G49,ProductMaster!A:C,3,0)</f>
        <v>Fashion</v>
      </c>
      <c r="I49" s="49" t="s">
        <v>23</v>
      </c>
      <c r="J49" s="36">
        <v>97</v>
      </c>
      <c r="K49" s="36">
        <v>1</v>
      </c>
      <c r="L49" s="36">
        <v>97</v>
      </c>
      <c r="M49" s="35" t="s">
        <v>41</v>
      </c>
      <c r="N49" s="35" t="s">
        <v>25</v>
      </c>
      <c r="O49" s="35" t="s">
        <v>61</v>
      </c>
      <c r="Q49" s="1"/>
      <c r="X49" s="18"/>
      <c r="Y49" s="4"/>
      <c r="AD49" s="18"/>
      <c r="AJ49" s="16"/>
      <c r="AK49" s="14"/>
      <c r="AN49" s="15">
        <v>45218</v>
      </c>
      <c r="AO49" s="15">
        <v>45223</v>
      </c>
      <c r="AR49">
        <f t="shared" si="0"/>
        <v>5</v>
      </c>
    </row>
    <row r="50" spans="1:44" ht="18" customHeight="1" x14ac:dyDescent="0.35">
      <c r="A50" s="35" t="s">
        <v>130</v>
      </c>
      <c r="B50" s="46">
        <v>45061</v>
      </c>
      <c r="C50" s="46"/>
      <c r="D50" s="47"/>
      <c r="E50" s="46"/>
      <c r="F50" s="35" t="s">
        <v>131</v>
      </c>
      <c r="G50" s="35" t="s">
        <v>67</v>
      </c>
      <c r="H50" s="35" t="str">
        <f>VLOOKUP(G50,ProductMaster!A:C,3,0)</f>
        <v>Electronics</v>
      </c>
      <c r="I50" s="49" t="s">
        <v>28</v>
      </c>
      <c r="J50" s="36">
        <v>73</v>
      </c>
      <c r="K50" s="36">
        <v>5</v>
      </c>
      <c r="L50" s="36">
        <v>365</v>
      </c>
      <c r="M50" s="35" t="s">
        <v>17</v>
      </c>
      <c r="N50" s="35" t="s">
        <v>29</v>
      </c>
      <c r="O50" s="35" t="s">
        <v>38</v>
      </c>
      <c r="Q50" s="1"/>
      <c r="X50" s="18"/>
      <c r="Y50" s="4"/>
      <c r="AD50" s="18"/>
      <c r="AJ50" s="16"/>
      <c r="AK50" s="14"/>
      <c r="AN50" s="15">
        <v>45061</v>
      </c>
      <c r="AO50" s="15"/>
    </row>
    <row r="51" spans="1:44" ht="18" customHeight="1" x14ac:dyDescent="0.35">
      <c r="A51" s="35" t="s">
        <v>132</v>
      </c>
      <c r="B51" s="46">
        <v>44969</v>
      </c>
      <c r="C51" s="46">
        <v>44976</v>
      </c>
      <c r="D51" s="47">
        <v>7</v>
      </c>
      <c r="E51" s="46"/>
      <c r="F51" s="35" t="s">
        <v>89</v>
      </c>
      <c r="G51" s="35" t="s">
        <v>69</v>
      </c>
      <c r="H51" s="35" t="str">
        <f>VLOOKUP(G51,ProductMaster!A:C,3,0)</f>
        <v>Fashion</v>
      </c>
      <c r="I51" s="49" t="s">
        <v>23</v>
      </c>
      <c r="J51" s="36">
        <v>27</v>
      </c>
      <c r="K51" s="36">
        <v>3</v>
      </c>
      <c r="L51" s="36">
        <v>81</v>
      </c>
      <c r="M51" s="35" t="s">
        <v>41</v>
      </c>
      <c r="N51" s="35" t="s">
        <v>25</v>
      </c>
      <c r="O51" s="35" t="s">
        <v>34</v>
      </c>
      <c r="Q51" s="1"/>
      <c r="X51" s="18"/>
      <c r="Y51" s="4"/>
      <c r="AD51" s="18"/>
      <c r="AJ51" s="16"/>
      <c r="AK51" s="14"/>
      <c r="AN51" s="15">
        <v>44969</v>
      </c>
      <c r="AO51" s="15">
        <v>44976</v>
      </c>
      <c r="AR51">
        <f t="shared" si="0"/>
        <v>7</v>
      </c>
    </row>
    <row r="52" spans="1:44" ht="18" customHeight="1" x14ac:dyDescent="0.35">
      <c r="A52" s="35" t="s">
        <v>133</v>
      </c>
      <c r="B52" s="46">
        <v>45201</v>
      </c>
      <c r="C52" s="46"/>
      <c r="D52" s="47"/>
      <c r="E52" s="46"/>
      <c r="F52" s="35" t="s">
        <v>78</v>
      </c>
      <c r="G52" s="35" t="s">
        <v>49</v>
      </c>
      <c r="H52" s="35" t="str">
        <f>VLOOKUP(G52,ProductMaster!A:C,3,0)</f>
        <v>Home</v>
      </c>
      <c r="I52" s="49" t="s">
        <v>16</v>
      </c>
      <c r="J52" s="36">
        <v>37</v>
      </c>
      <c r="K52" s="36">
        <v>1</v>
      </c>
      <c r="L52" s="36">
        <v>37</v>
      </c>
      <c r="M52" s="35" t="s">
        <v>17</v>
      </c>
      <c r="N52" s="35" t="s">
        <v>29</v>
      </c>
      <c r="O52" s="35" t="s">
        <v>34</v>
      </c>
      <c r="Q52" s="1"/>
      <c r="X52" s="18"/>
      <c r="Y52" s="4"/>
      <c r="AD52" s="18"/>
      <c r="AJ52" s="16"/>
      <c r="AK52" s="14"/>
      <c r="AN52" s="15">
        <v>45201</v>
      </c>
      <c r="AO52" s="15"/>
    </row>
    <row r="53" spans="1:44" ht="18" customHeight="1" x14ac:dyDescent="0.35">
      <c r="A53" s="35" t="s">
        <v>134</v>
      </c>
      <c r="B53" s="46">
        <v>44956</v>
      </c>
      <c r="C53" s="46">
        <v>44958</v>
      </c>
      <c r="D53" s="47">
        <v>2</v>
      </c>
      <c r="E53" s="46"/>
      <c r="F53" s="35" t="s">
        <v>99</v>
      </c>
      <c r="G53" s="35" t="s">
        <v>73</v>
      </c>
      <c r="H53" s="35" t="str">
        <f>VLOOKUP(G53,ProductMaster!A:C,3,0)</f>
        <v>Books</v>
      </c>
      <c r="I53" s="49" t="s">
        <v>16</v>
      </c>
      <c r="J53" s="36">
        <v>22</v>
      </c>
      <c r="K53" s="36">
        <v>1</v>
      </c>
      <c r="L53" s="36">
        <v>22</v>
      </c>
      <c r="M53" s="35" t="s">
        <v>46</v>
      </c>
      <c r="N53" s="35" t="s">
        <v>25</v>
      </c>
      <c r="O53" s="35" t="s">
        <v>61</v>
      </c>
      <c r="Q53" s="1"/>
      <c r="X53" s="18"/>
      <c r="Y53" s="4"/>
      <c r="AD53" s="18"/>
      <c r="AJ53" s="16"/>
      <c r="AK53" s="14"/>
      <c r="AN53" s="15">
        <v>44956</v>
      </c>
      <c r="AO53" s="15">
        <v>44958</v>
      </c>
      <c r="AR53">
        <f t="shared" si="0"/>
        <v>2</v>
      </c>
    </row>
    <row r="54" spans="1:44" ht="18" customHeight="1" x14ac:dyDescent="0.35">
      <c r="A54" s="35" t="s">
        <v>135</v>
      </c>
      <c r="B54" s="46">
        <v>45289</v>
      </c>
      <c r="C54" s="46">
        <v>45292</v>
      </c>
      <c r="D54" s="47">
        <v>3</v>
      </c>
      <c r="E54" s="46"/>
      <c r="F54" s="35" t="s">
        <v>75</v>
      </c>
      <c r="G54" s="35" t="s">
        <v>111</v>
      </c>
      <c r="H54" s="35" t="str">
        <f>VLOOKUP(G54,ProductMaster!A:C,3,0)</f>
        <v>Home</v>
      </c>
      <c r="I54" s="49" t="s">
        <v>45</v>
      </c>
      <c r="J54" s="36">
        <v>218</v>
      </c>
      <c r="K54" s="36">
        <v>5</v>
      </c>
      <c r="L54" s="36">
        <v>1090</v>
      </c>
      <c r="M54" s="35" t="s">
        <v>33</v>
      </c>
      <c r="N54" s="35" t="s">
        <v>25</v>
      </c>
      <c r="O54" s="35" t="s">
        <v>19</v>
      </c>
      <c r="Q54" s="1"/>
      <c r="X54" s="18"/>
      <c r="Y54" s="4"/>
      <c r="AD54" s="18"/>
      <c r="AJ54" s="16"/>
      <c r="AK54" s="14"/>
      <c r="AN54" s="15">
        <v>45289</v>
      </c>
      <c r="AO54" s="15">
        <v>45292</v>
      </c>
      <c r="AR54">
        <f t="shared" si="0"/>
        <v>3</v>
      </c>
    </row>
    <row r="55" spans="1:44" ht="18" customHeight="1" x14ac:dyDescent="0.35">
      <c r="A55" s="35" t="s">
        <v>136</v>
      </c>
      <c r="B55" s="46">
        <v>44991</v>
      </c>
      <c r="C55" s="46"/>
      <c r="D55" s="47"/>
      <c r="E55" s="46">
        <v>44998</v>
      </c>
      <c r="F55" s="35" t="s">
        <v>94</v>
      </c>
      <c r="G55" s="35" t="s">
        <v>119</v>
      </c>
      <c r="H55" s="35" t="str">
        <f>VLOOKUP(G55,ProductMaster!A:C,3,0)</f>
        <v>Toys</v>
      </c>
      <c r="I55" s="49" t="s">
        <v>16</v>
      </c>
      <c r="J55" s="36">
        <v>64</v>
      </c>
      <c r="K55" s="36">
        <v>1</v>
      </c>
      <c r="L55" s="36">
        <v>64</v>
      </c>
      <c r="M55" s="35" t="s">
        <v>17</v>
      </c>
      <c r="N55" s="35" t="s">
        <v>18</v>
      </c>
      <c r="O55" s="35" t="s">
        <v>30</v>
      </c>
      <c r="Q55" s="1"/>
      <c r="X55" s="18"/>
      <c r="Y55" s="4"/>
      <c r="AD55" s="18"/>
      <c r="AJ55" s="16"/>
      <c r="AK55" s="14"/>
      <c r="AN55" s="15">
        <v>44991</v>
      </c>
      <c r="AO55" s="15"/>
    </row>
    <row r="56" spans="1:44" ht="18" customHeight="1" x14ac:dyDescent="0.35">
      <c r="A56" s="35" t="s">
        <v>137</v>
      </c>
      <c r="B56" s="46">
        <v>44959</v>
      </c>
      <c r="C56" s="46">
        <v>44963</v>
      </c>
      <c r="D56" s="47">
        <v>4</v>
      </c>
      <c r="E56" s="46"/>
      <c r="F56" s="35" t="s">
        <v>103</v>
      </c>
      <c r="G56" s="35" t="s">
        <v>49</v>
      </c>
      <c r="H56" s="35" t="str">
        <f>VLOOKUP(G56,ProductMaster!A:C,3,0)</f>
        <v>Home</v>
      </c>
      <c r="I56" s="49" t="s">
        <v>45</v>
      </c>
      <c r="J56" s="36">
        <v>36</v>
      </c>
      <c r="K56" s="36">
        <v>4</v>
      </c>
      <c r="L56" s="36">
        <v>144</v>
      </c>
      <c r="M56" s="35" t="s">
        <v>33</v>
      </c>
      <c r="N56" s="35" t="s">
        <v>25</v>
      </c>
      <c r="O56" s="35" t="s">
        <v>38</v>
      </c>
      <c r="Q56" s="1"/>
      <c r="X56" s="18"/>
      <c r="Y56" s="4"/>
      <c r="AD56" s="18"/>
      <c r="AJ56" s="16"/>
      <c r="AK56" s="14"/>
      <c r="AN56" s="15">
        <v>44959</v>
      </c>
      <c r="AO56" s="15">
        <v>44963</v>
      </c>
      <c r="AR56">
        <f t="shared" si="0"/>
        <v>4</v>
      </c>
    </row>
    <row r="57" spans="1:44" ht="18" customHeight="1" x14ac:dyDescent="0.35">
      <c r="A57" s="35" t="s">
        <v>138</v>
      </c>
      <c r="B57" s="46">
        <v>45217</v>
      </c>
      <c r="C57" s="46">
        <v>45220</v>
      </c>
      <c r="D57" s="47">
        <v>3</v>
      </c>
      <c r="E57" s="46"/>
      <c r="F57" s="35" t="s">
        <v>139</v>
      </c>
      <c r="G57" s="35" t="s">
        <v>119</v>
      </c>
      <c r="H57" s="35" t="str">
        <f>VLOOKUP(G57,ProductMaster!A:C,3,0)</f>
        <v>Toys</v>
      </c>
      <c r="I57" s="49" t="s">
        <v>50</v>
      </c>
      <c r="J57" s="36">
        <v>65</v>
      </c>
      <c r="K57" s="36">
        <v>1</v>
      </c>
      <c r="L57" s="36">
        <v>65</v>
      </c>
      <c r="M57" s="35" t="s">
        <v>41</v>
      </c>
      <c r="N57" s="35" t="s">
        <v>25</v>
      </c>
      <c r="O57" s="35" t="s">
        <v>61</v>
      </c>
      <c r="Q57" s="1"/>
      <c r="X57" s="18"/>
      <c r="Y57" s="4"/>
      <c r="AD57" s="18"/>
      <c r="AJ57" s="16"/>
      <c r="AK57" s="14"/>
      <c r="AN57" s="15">
        <v>45217</v>
      </c>
      <c r="AO57" s="15">
        <v>45220</v>
      </c>
      <c r="AR57">
        <f t="shared" si="0"/>
        <v>3</v>
      </c>
    </row>
    <row r="58" spans="1:44" ht="18" customHeight="1" x14ac:dyDescent="0.35">
      <c r="A58" s="35" t="s">
        <v>140</v>
      </c>
      <c r="B58" s="46">
        <v>44933</v>
      </c>
      <c r="C58" s="46">
        <v>44935</v>
      </c>
      <c r="D58" s="47">
        <v>2</v>
      </c>
      <c r="E58" s="46"/>
      <c r="F58" s="35" t="s">
        <v>80</v>
      </c>
      <c r="G58" s="35" t="s">
        <v>69</v>
      </c>
      <c r="H58" s="35" t="str">
        <f>VLOOKUP(G58,ProductMaster!A:C,3,0)</f>
        <v>Fashion</v>
      </c>
      <c r="I58" s="49" t="s">
        <v>45</v>
      </c>
      <c r="J58" s="36">
        <v>26</v>
      </c>
      <c r="K58" s="36">
        <v>1</v>
      </c>
      <c r="L58" s="36">
        <v>26</v>
      </c>
      <c r="M58" s="35" t="s">
        <v>17</v>
      </c>
      <c r="N58" s="35" t="s">
        <v>25</v>
      </c>
      <c r="O58" s="35" t="s">
        <v>19</v>
      </c>
      <c r="Q58" s="1"/>
      <c r="X58" s="18"/>
      <c r="Y58" s="4"/>
      <c r="AD58" s="18"/>
      <c r="AJ58" s="16"/>
      <c r="AK58" s="14"/>
      <c r="AN58" s="15">
        <v>44933</v>
      </c>
      <c r="AO58" s="15">
        <v>44935</v>
      </c>
      <c r="AR58">
        <f t="shared" si="0"/>
        <v>2</v>
      </c>
    </row>
    <row r="59" spans="1:44" ht="18" customHeight="1" x14ac:dyDescent="0.35">
      <c r="A59" s="35" t="s">
        <v>141</v>
      </c>
      <c r="B59" s="46">
        <v>45054</v>
      </c>
      <c r="C59" s="46"/>
      <c r="D59" s="47"/>
      <c r="E59" s="46"/>
      <c r="F59" s="35" t="s">
        <v>14</v>
      </c>
      <c r="G59" s="35" t="s">
        <v>104</v>
      </c>
      <c r="H59" s="35" t="str">
        <f>VLOOKUP(G59,ProductMaster!A:C,3,0)</f>
        <v>Books</v>
      </c>
      <c r="I59" s="49" t="s">
        <v>16</v>
      </c>
      <c r="J59" s="36">
        <v>11</v>
      </c>
      <c r="K59" s="36">
        <v>5</v>
      </c>
      <c r="L59" s="36">
        <v>55</v>
      </c>
      <c r="M59" s="35" t="s">
        <v>24</v>
      </c>
      <c r="N59" s="35" t="s">
        <v>29</v>
      </c>
      <c r="O59" s="35" t="s">
        <v>61</v>
      </c>
      <c r="Q59" s="1"/>
      <c r="X59" s="18"/>
      <c r="Y59" s="4"/>
      <c r="AD59" s="18"/>
      <c r="AJ59" s="16"/>
      <c r="AK59" s="14"/>
      <c r="AN59" s="15">
        <v>45054</v>
      </c>
      <c r="AO59" s="15"/>
    </row>
    <row r="60" spans="1:44" ht="18" customHeight="1" x14ac:dyDescent="0.35">
      <c r="A60" s="35" t="s">
        <v>142</v>
      </c>
      <c r="B60" s="46">
        <v>45018</v>
      </c>
      <c r="C60" s="46"/>
      <c r="D60" s="47"/>
      <c r="E60" s="46">
        <v>45021</v>
      </c>
      <c r="F60" s="35" t="s">
        <v>143</v>
      </c>
      <c r="G60" s="35" t="s">
        <v>27</v>
      </c>
      <c r="H60" s="35" t="str">
        <f>VLOOKUP(G60,ProductMaster!A:C,3,0)</f>
        <v>Home</v>
      </c>
      <c r="I60" s="49" t="s">
        <v>16</v>
      </c>
      <c r="J60" s="36">
        <v>195</v>
      </c>
      <c r="K60" s="36">
        <v>4</v>
      </c>
      <c r="L60" s="36">
        <v>780</v>
      </c>
      <c r="M60" s="35" t="s">
        <v>33</v>
      </c>
      <c r="N60" s="35" t="s">
        <v>18</v>
      </c>
      <c r="O60" s="35" t="s">
        <v>61</v>
      </c>
      <c r="Q60" s="1"/>
      <c r="X60" s="18"/>
      <c r="Y60" s="4"/>
      <c r="AD60" s="18"/>
      <c r="AJ60" s="16"/>
      <c r="AK60" s="14"/>
      <c r="AN60" s="15">
        <v>45018</v>
      </c>
      <c r="AO60" s="15"/>
    </row>
    <row r="61" spans="1:44" ht="18" customHeight="1" x14ac:dyDescent="0.35">
      <c r="A61" s="35" t="s">
        <v>144</v>
      </c>
      <c r="B61" s="46">
        <v>45210</v>
      </c>
      <c r="C61" s="46"/>
      <c r="D61" s="47"/>
      <c r="E61" s="46">
        <v>45211</v>
      </c>
      <c r="F61" s="35" t="s">
        <v>48</v>
      </c>
      <c r="G61" s="35" t="s">
        <v>53</v>
      </c>
      <c r="H61" s="35" t="str">
        <f>VLOOKUP(G61,ProductMaster!A:C,3,0)</f>
        <v>Fashion</v>
      </c>
      <c r="I61" s="49" t="s">
        <v>50</v>
      </c>
      <c r="J61" s="36">
        <v>44</v>
      </c>
      <c r="K61" s="36">
        <v>5</v>
      </c>
      <c r="L61" s="36">
        <v>220</v>
      </c>
      <c r="M61" s="35" t="s">
        <v>17</v>
      </c>
      <c r="N61" s="35" t="s">
        <v>18</v>
      </c>
      <c r="O61" s="35" t="s">
        <v>30</v>
      </c>
      <c r="Q61" s="1"/>
      <c r="X61" s="18"/>
      <c r="Y61" s="4"/>
      <c r="AD61" s="18"/>
      <c r="AJ61" s="16"/>
      <c r="AK61" s="14"/>
      <c r="AN61" s="15">
        <v>45210</v>
      </c>
      <c r="AO61" s="15"/>
    </row>
    <row r="62" spans="1:44" ht="18" customHeight="1" x14ac:dyDescent="0.35">
      <c r="A62" s="35" t="s">
        <v>145</v>
      </c>
      <c r="B62" s="46">
        <v>45179</v>
      </c>
      <c r="C62" s="46"/>
      <c r="D62" s="47"/>
      <c r="E62" s="46"/>
      <c r="F62" s="35" t="s">
        <v>146</v>
      </c>
      <c r="G62" s="35" t="s">
        <v>76</v>
      </c>
      <c r="H62" s="35" t="str">
        <f>VLOOKUP(G62,ProductMaster!A:C,3,0)</f>
        <v>Books</v>
      </c>
      <c r="I62" s="49" t="s">
        <v>23</v>
      </c>
      <c r="J62" s="36">
        <v>69</v>
      </c>
      <c r="K62" s="36">
        <v>4</v>
      </c>
      <c r="L62" s="36">
        <v>276</v>
      </c>
      <c r="M62" s="35" t="s">
        <v>46</v>
      </c>
      <c r="N62" s="35" t="s">
        <v>29</v>
      </c>
      <c r="O62" s="35" t="s">
        <v>19</v>
      </c>
      <c r="Q62" s="1"/>
      <c r="X62" s="18"/>
      <c r="Y62" s="4"/>
      <c r="AD62" s="18"/>
      <c r="AJ62" s="16"/>
      <c r="AK62" s="14"/>
      <c r="AN62" s="15">
        <v>45179</v>
      </c>
      <c r="AO62" s="15"/>
    </row>
    <row r="63" spans="1:44" ht="18" customHeight="1" x14ac:dyDescent="0.35">
      <c r="A63" s="35" t="s">
        <v>147</v>
      </c>
      <c r="B63" s="46">
        <v>45252</v>
      </c>
      <c r="C63" s="46">
        <v>45259</v>
      </c>
      <c r="D63" s="47">
        <v>7</v>
      </c>
      <c r="E63" s="46"/>
      <c r="F63" s="35" t="s">
        <v>148</v>
      </c>
      <c r="G63" s="35" t="s">
        <v>81</v>
      </c>
      <c r="H63" s="35" t="str">
        <f>VLOOKUP(G63,ProductMaster!A:C,3,0)</f>
        <v>Electronics</v>
      </c>
      <c r="I63" s="49" t="s">
        <v>16</v>
      </c>
      <c r="J63" s="36">
        <v>815</v>
      </c>
      <c r="K63" s="36">
        <v>4</v>
      </c>
      <c r="L63" s="36">
        <v>3260</v>
      </c>
      <c r="M63" s="35" t="s">
        <v>24</v>
      </c>
      <c r="N63" s="35" t="s">
        <v>25</v>
      </c>
      <c r="O63" s="35" t="s">
        <v>30</v>
      </c>
      <c r="Q63" s="1"/>
      <c r="X63" s="18"/>
      <c r="Y63" s="4"/>
      <c r="AD63" s="18"/>
      <c r="AJ63" s="16"/>
      <c r="AK63" s="14"/>
      <c r="AN63" s="15">
        <v>45252</v>
      </c>
      <c r="AO63" s="15">
        <v>45259</v>
      </c>
      <c r="AR63">
        <f t="shared" si="0"/>
        <v>7</v>
      </c>
    </row>
    <row r="64" spans="1:44" ht="18" customHeight="1" x14ac:dyDescent="0.35">
      <c r="A64" s="35" t="s">
        <v>149</v>
      </c>
      <c r="B64" s="46">
        <v>45048</v>
      </c>
      <c r="C64" s="46"/>
      <c r="D64" s="47"/>
      <c r="E64" s="46"/>
      <c r="F64" s="35" t="s">
        <v>150</v>
      </c>
      <c r="G64" s="35" t="s">
        <v>69</v>
      </c>
      <c r="H64" s="35" t="str">
        <f>VLOOKUP(G64,ProductMaster!A:C,3,0)</f>
        <v>Fashion</v>
      </c>
      <c r="I64" s="49" t="s">
        <v>23</v>
      </c>
      <c r="J64" s="36">
        <v>27</v>
      </c>
      <c r="K64" s="36">
        <v>1</v>
      </c>
      <c r="L64" s="36">
        <v>27</v>
      </c>
      <c r="M64" s="35" t="s">
        <v>46</v>
      </c>
      <c r="N64" s="35" t="s">
        <v>29</v>
      </c>
      <c r="O64" s="35" t="s">
        <v>38</v>
      </c>
      <c r="Q64" s="1"/>
      <c r="X64" s="18"/>
      <c r="Y64" s="4"/>
      <c r="AD64" s="18"/>
      <c r="AJ64" s="16"/>
      <c r="AK64" s="14"/>
      <c r="AN64" s="15">
        <v>45048</v>
      </c>
      <c r="AO64" s="15"/>
    </row>
    <row r="65" spans="1:44" ht="18" customHeight="1" x14ac:dyDescent="0.35">
      <c r="A65" s="35" t="s">
        <v>151</v>
      </c>
      <c r="B65" s="46">
        <v>45285</v>
      </c>
      <c r="C65" s="46">
        <v>45289</v>
      </c>
      <c r="D65" s="47">
        <v>4</v>
      </c>
      <c r="E65" s="46"/>
      <c r="F65" s="35" t="s">
        <v>152</v>
      </c>
      <c r="G65" s="35" t="s">
        <v>55</v>
      </c>
      <c r="H65" s="35" t="str">
        <f>VLOOKUP(G65,ProductMaster!A:C,3,0)</f>
        <v>Home</v>
      </c>
      <c r="I65" s="49" t="s">
        <v>50</v>
      </c>
      <c r="J65" s="36">
        <v>139</v>
      </c>
      <c r="K65" s="36">
        <v>5</v>
      </c>
      <c r="L65" s="36">
        <v>695</v>
      </c>
      <c r="M65" s="35" t="s">
        <v>17</v>
      </c>
      <c r="N65" s="35" t="s">
        <v>25</v>
      </c>
      <c r="O65" s="35" t="s">
        <v>30</v>
      </c>
      <c r="Q65" s="1"/>
      <c r="X65" s="18"/>
      <c r="Y65" s="4"/>
      <c r="AD65" s="18"/>
      <c r="AJ65" s="16"/>
      <c r="AK65" s="14"/>
      <c r="AN65" s="15">
        <v>45285</v>
      </c>
      <c r="AO65" s="15">
        <v>45289</v>
      </c>
      <c r="AR65">
        <f t="shared" si="0"/>
        <v>4</v>
      </c>
    </row>
    <row r="66" spans="1:44" ht="18" customHeight="1" x14ac:dyDescent="0.35">
      <c r="A66" s="35" t="s">
        <v>153</v>
      </c>
      <c r="B66" s="46">
        <v>45217</v>
      </c>
      <c r="C66" s="46"/>
      <c r="D66" s="47"/>
      <c r="E66" s="46">
        <v>45219</v>
      </c>
      <c r="F66" s="35" t="s">
        <v>40</v>
      </c>
      <c r="G66" s="35" t="s">
        <v>76</v>
      </c>
      <c r="H66" s="35" t="str">
        <f>VLOOKUP(G66,ProductMaster!A:C,3,0)</f>
        <v>Books</v>
      </c>
      <c r="I66" s="49" t="s">
        <v>28</v>
      </c>
      <c r="J66" s="36">
        <v>69</v>
      </c>
      <c r="K66" s="36">
        <v>3</v>
      </c>
      <c r="L66" s="36">
        <v>207</v>
      </c>
      <c r="M66" s="35" t="s">
        <v>33</v>
      </c>
      <c r="N66" s="35" t="s">
        <v>18</v>
      </c>
      <c r="O66" s="35" t="s">
        <v>38</v>
      </c>
      <c r="Q66" s="1"/>
      <c r="X66" s="18"/>
      <c r="Y66" s="4"/>
      <c r="AD66" s="18"/>
      <c r="AJ66" s="16"/>
      <c r="AK66" s="14"/>
      <c r="AN66" s="15">
        <v>45217</v>
      </c>
      <c r="AO66" s="15"/>
    </row>
    <row r="67" spans="1:44" ht="18" customHeight="1" x14ac:dyDescent="0.35">
      <c r="A67" s="35" t="s">
        <v>154</v>
      </c>
      <c r="B67" s="46">
        <v>45066</v>
      </c>
      <c r="C67" s="46"/>
      <c r="D67" s="47"/>
      <c r="E67" s="46">
        <v>45067</v>
      </c>
      <c r="F67" s="35" t="s">
        <v>40</v>
      </c>
      <c r="G67" s="35" t="s">
        <v>53</v>
      </c>
      <c r="H67" s="35" t="str">
        <f>VLOOKUP(G67,ProductMaster!A:C,3,0)</f>
        <v>Fashion</v>
      </c>
      <c r="I67" s="49" t="s">
        <v>50</v>
      </c>
      <c r="J67" s="36">
        <v>42</v>
      </c>
      <c r="K67" s="36">
        <v>1</v>
      </c>
      <c r="L67" s="36">
        <v>42</v>
      </c>
      <c r="M67" s="35" t="s">
        <v>17</v>
      </c>
      <c r="N67" s="35" t="s">
        <v>18</v>
      </c>
      <c r="O67" s="35" t="s">
        <v>19</v>
      </c>
      <c r="Q67" s="1"/>
      <c r="X67" s="18"/>
      <c r="Y67" s="4"/>
      <c r="AD67" s="18"/>
      <c r="AJ67" s="16"/>
      <c r="AK67" s="14"/>
      <c r="AN67" s="15">
        <v>45066</v>
      </c>
      <c r="AO67" s="15"/>
    </row>
    <row r="68" spans="1:44" ht="18" customHeight="1" x14ac:dyDescent="0.35">
      <c r="A68" s="35" t="s">
        <v>155</v>
      </c>
      <c r="B68" s="46">
        <v>45135</v>
      </c>
      <c r="C68" s="46">
        <v>45137</v>
      </c>
      <c r="D68" s="47">
        <v>2</v>
      </c>
      <c r="E68" s="46"/>
      <c r="F68" s="35" t="s">
        <v>156</v>
      </c>
      <c r="G68" s="35" t="s">
        <v>114</v>
      </c>
      <c r="H68" s="35" t="str">
        <f>VLOOKUP(G68,ProductMaster!A:C,3,0)</f>
        <v>Toys</v>
      </c>
      <c r="I68" s="49" t="s">
        <v>16</v>
      </c>
      <c r="J68" s="36">
        <v>31</v>
      </c>
      <c r="K68" s="36">
        <v>4</v>
      </c>
      <c r="L68" s="36">
        <v>124</v>
      </c>
      <c r="M68" s="35" t="s">
        <v>24</v>
      </c>
      <c r="N68" s="35" t="s">
        <v>25</v>
      </c>
      <c r="O68" s="35" t="s">
        <v>34</v>
      </c>
      <c r="Q68" s="1"/>
      <c r="X68" s="18"/>
      <c r="Y68" s="4"/>
      <c r="AD68" s="18"/>
      <c r="AJ68" s="16"/>
      <c r="AK68" s="14"/>
      <c r="AN68" s="15">
        <v>45135</v>
      </c>
      <c r="AO68" s="15">
        <v>45137</v>
      </c>
      <c r="AR68">
        <f t="shared" ref="AR68:AR99" si="1">AO68-AN68</f>
        <v>2</v>
      </c>
    </row>
    <row r="69" spans="1:44" ht="18" customHeight="1" x14ac:dyDescent="0.35">
      <c r="A69" s="35" t="s">
        <v>157</v>
      </c>
      <c r="B69" s="46">
        <v>45278</v>
      </c>
      <c r="C69" s="46"/>
      <c r="D69" s="47"/>
      <c r="E69" s="46"/>
      <c r="F69" s="35" t="s">
        <v>60</v>
      </c>
      <c r="G69" s="35" t="s">
        <v>44</v>
      </c>
      <c r="H69" s="35" t="str">
        <f>VLOOKUP(G69,ProductMaster!A:C,3,0)</f>
        <v>Electronics</v>
      </c>
      <c r="I69" s="49" t="s">
        <v>50</v>
      </c>
      <c r="J69" s="36">
        <v>104</v>
      </c>
      <c r="K69" s="36">
        <v>3</v>
      </c>
      <c r="L69" s="36">
        <v>312</v>
      </c>
      <c r="M69" s="35" t="s">
        <v>24</v>
      </c>
      <c r="N69" s="35" t="s">
        <v>29</v>
      </c>
      <c r="O69" s="35" t="s">
        <v>34</v>
      </c>
      <c r="Q69" s="1"/>
      <c r="X69" s="18"/>
      <c r="Y69" s="4"/>
      <c r="AD69" s="18"/>
      <c r="AJ69" s="16"/>
      <c r="AK69" s="14"/>
      <c r="AN69" s="15">
        <v>45278</v>
      </c>
      <c r="AO69" s="15"/>
    </row>
    <row r="70" spans="1:44" ht="18" customHeight="1" x14ac:dyDescent="0.35">
      <c r="A70" s="35" t="s">
        <v>158</v>
      </c>
      <c r="B70" s="46">
        <v>45109</v>
      </c>
      <c r="C70" s="46"/>
      <c r="D70" s="47"/>
      <c r="E70" s="46">
        <v>45114</v>
      </c>
      <c r="F70" s="35" t="s">
        <v>32</v>
      </c>
      <c r="G70" s="35" t="s">
        <v>37</v>
      </c>
      <c r="H70" s="35" t="str">
        <f>VLOOKUP(G70,ProductMaster!A:C,3,0)</f>
        <v>Fashion</v>
      </c>
      <c r="I70" s="49" t="s">
        <v>23</v>
      </c>
      <c r="J70" s="36">
        <v>58</v>
      </c>
      <c r="K70" s="36">
        <v>2</v>
      </c>
      <c r="L70" s="36">
        <v>116</v>
      </c>
      <c r="M70" s="35" t="s">
        <v>17</v>
      </c>
      <c r="N70" s="35" t="s">
        <v>18</v>
      </c>
      <c r="O70" s="35" t="s">
        <v>30</v>
      </c>
      <c r="Q70" s="1"/>
      <c r="X70" s="18"/>
      <c r="Y70" s="4"/>
      <c r="AD70" s="18"/>
      <c r="AJ70" s="16"/>
      <c r="AK70" s="14"/>
      <c r="AN70" s="15">
        <v>45109</v>
      </c>
      <c r="AO70" s="15"/>
    </row>
    <row r="71" spans="1:44" ht="18" customHeight="1" x14ac:dyDescent="0.35">
      <c r="A71" s="35" t="s">
        <v>159</v>
      </c>
      <c r="B71" s="46">
        <v>45208</v>
      </c>
      <c r="C71" s="46"/>
      <c r="D71" s="47"/>
      <c r="E71" s="46">
        <v>45209</v>
      </c>
      <c r="F71" s="35" t="s">
        <v>40</v>
      </c>
      <c r="G71" s="35" t="s">
        <v>119</v>
      </c>
      <c r="H71" s="35" t="str">
        <f>VLOOKUP(G71,ProductMaster!A:C,3,0)</f>
        <v>Toys</v>
      </c>
      <c r="I71" s="49" t="s">
        <v>50</v>
      </c>
      <c r="J71" s="36">
        <v>62</v>
      </c>
      <c r="K71" s="36">
        <v>2</v>
      </c>
      <c r="L71" s="36">
        <v>124</v>
      </c>
      <c r="M71" s="35" t="s">
        <v>46</v>
      </c>
      <c r="N71" s="35" t="s">
        <v>18</v>
      </c>
      <c r="O71" s="35" t="s">
        <v>19</v>
      </c>
      <c r="Q71" s="1"/>
      <c r="X71" s="18"/>
      <c r="Y71" s="4"/>
      <c r="AD71" s="18"/>
      <c r="AJ71" s="16"/>
      <c r="AK71" s="14"/>
      <c r="AN71" s="15">
        <v>45208</v>
      </c>
      <c r="AO71" s="15"/>
    </row>
    <row r="72" spans="1:44" ht="18" customHeight="1" x14ac:dyDescent="0.35">
      <c r="A72" s="35" t="s">
        <v>160</v>
      </c>
      <c r="B72" s="46">
        <v>45278</v>
      </c>
      <c r="C72" s="46">
        <v>45285</v>
      </c>
      <c r="D72" s="47">
        <v>7</v>
      </c>
      <c r="E72" s="46"/>
      <c r="F72" s="35" t="s">
        <v>118</v>
      </c>
      <c r="G72" s="35" t="s">
        <v>53</v>
      </c>
      <c r="H72" s="35" t="str">
        <f>VLOOKUP(G72,ProductMaster!A:C,3,0)</f>
        <v>Fashion</v>
      </c>
      <c r="I72" s="49" t="s">
        <v>23</v>
      </c>
      <c r="J72" s="36">
        <v>43</v>
      </c>
      <c r="K72" s="36">
        <v>1</v>
      </c>
      <c r="L72" s="36">
        <v>43</v>
      </c>
      <c r="M72" s="35" t="s">
        <v>24</v>
      </c>
      <c r="N72" s="35" t="s">
        <v>25</v>
      </c>
      <c r="O72" s="35" t="s">
        <v>38</v>
      </c>
      <c r="Q72" s="1"/>
      <c r="X72" s="18"/>
      <c r="Y72" s="4"/>
      <c r="AD72" s="18"/>
      <c r="AJ72" s="16"/>
      <c r="AK72" s="14"/>
      <c r="AN72" s="15">
        <v>45278</v>
      </c>
      <c r="AO72" s="15">
        <v>45285</v>
      </c>
      <c r="AR72">
        <f t="shared" si="1"/>
        <v>7</v>
      </c>
    </row>
    <row r="73" spans="1:44" ht="18" customHeight="1" x14ac:dyDescent="0.35">
      <c r="A73" s="35" t="s">
        <v>161</v>
      </c>
      <c r="B73" s="46">
        <v>44992</v>
      </c>
      <c r="C73" s="46"/>
      <c r="D73" s="47"/>
      <c r="E73" s="46"/>
      <c r="F73" s="35" t="s">
        <v>148</v>
      </c>
      <c r="G73" s="35" t="s">
        <v>119</v>
      </c>
      <c r="H73" s="35" t="str">
        <f>VLOOKUP(G73,ProductMaster!A:C,3,0)</f>
        <v>Toys</v>
      </c>
      <c r="I73" s="49" t="s">
        <v>23</v>
      </c>
      <c r="J73" s="36">
        <v>62</v>
      </c>
      <c r="K73" s="36">
        <v>4</v>
      </c>
      <c r="L73" s="36">
        <v>248</v>
      </c>
      <c r="M73" s="35" t="s">
        <v>46</v>
      </c>
      <c r="N73" s="35" t="s">
        <v>29</v>
      </c>
      <c r="O73" s="35" t="s">
        <v>38</v>
      </c>
      <c r="Q73" s="1"/>
      <c r="X73" s="18"/>
      <c r="Y73" s="4"/>
      <c r="AD73" s="18"/>
      <c r="AJ73" s="16"/>
      <c r="AK73" s="14"/>
      <c r="AN73" s="15">
        <v>44992</v>
      </c>
      <c r="AO73" s="15"/>
    </row>
    <row r="74" spans="1:44" ht="18" customHeight="1" x14ac:dyDescent="0.35">
      <c r="A74" s="35" t="s">
        <v>162</v>
      </c>
      <c r="B74" s="46">
        <v>45129</v>
      </c>
      <c r="C74" s="46"/>
      <c r="D74" s="47"/>
      <c r="E74" s="46">
        <v>45132</v>
      </c>
      <c r="F74" s="35" t="s">
        <v>87</v>
      </c>
      <c r="G74" s="35" t="s">
        <v>64</v>
      </c>
      <c r="H74" s="35" t="str">
        <f>VLOOKUP(G74,ProductMaster!A:C,3,0)</f>
        <v>Fashion</v>
      </c>
      <c r="I74" s="49" t="s">
        <v>16</v>
      </c>
      <c r="J74" s="36">
        <v>95</v>
      </c>
      <c r="K74" s="36">
        <v>2</v>
      </c>
      <c r="L74" s="36">
        <v>190</v>
      </c>
      <c r="M74" s="35" t="s">
        <v>33</v>
      </c>
      <c r="N74" s="35" t="s">
        <v>18</v>
      </c>
      <c r="O74" s="35" t="s">
        <v>34</v>
      </c>
      <c r="Q74" s="1"/>
      <c r="X74" s="18"/>
      <c r="Y74" s="4"/>
      <c r="AD74" s="18"/>
      <c r="AJ74" s="16"/>
      <c r="AK74" s="14"/>
      <c r="AN74" s="15">
        <v>45129</v>
      </c>
      <c r="AO74" s="15"/>
    </row>
    <row r="75" spans="1:44" ht="18" customHeight="1" x14ac:dyDescent="0.35">
      <c r="A75" s="35" t="s">
        <v>163</v>
      </c>
      <c r="B75" s="46">
        <v>44944</v>
      </c>
      <c r="C75" s="46">
        <v>44950</v>
      </c>
      <c r="D75" s="47">
        <v>6</v>
      </c>
      <c r="E75" s="46"/>
      <c r="F75" s="35" t="s">
        <v>85</v>
      </c>
      <c r="G75" s="35" t="s">
        <v>49</v>
      </c>
      <c r="H75" s="35" t="str">
        <f>VLOOKUP(G75,ProductMaster!A:C,3,0)</f>
        <v>Home</v>
      </c>
      <c r="I75" s="49" t="s">
        <v>45</v>
      </c>
      <c r="J75" s="36">
        <v>36</v>
      </c>
      <c r="K75" s="36">
        <v>4</v>
      </c>
      <c r="L75" s="36">
        <v>144</v>
      </c>
      <c r="M75" s="35" t="s">
        <v>17</v>
      </c>
      <c r="N75" s="35" t="s">
        <v>25</v>
      </c>
      <c r="O75" s="35" t="s">
        <v>61</v>
      </c>
      <c r="Q75" s="1"/>
      <c r="X75" s="18"/>
      <c r="Y75" s="4"/>
      <c r="AD75" s="18"/>
      <c r="AJ75" s="16"/>
      <c r="AK75" s="14"/>
      <c r="AN75" s="15">
        <v>44944</v>
      </c>
      <c r="AO75" s="15">
        <v>44950</v>
      </c>
      <c r="AR75">
        <f t="shared" si="1"/>
        <v>6</v>
      </c>
    </row>
    <row r="76" spans="1:44" ht="18" customHeight="1" x14ac:dyDescent="0.35">
      <c r="A76" s="35" t="s">
        <v>164</v>
      </c>
      <c r="B76" s="46">
        <v>45070</v>
      </c>
      <c r="C76" s="46"/>
      <c r="D76" s="47"/>
      <c r="E76" s="46"/>
      <c r="F76" s="35" t="s">
        <v>43</v>
      </c>
      <c r="G76" s="35" t="s">
        <v>67</v>
      </c>
      <c r="H76" s="35" t="str">
        <f>VLOOKUP(G76,ProductMaster!A:C,3,0)</f>
        <v>Electronics</v>
      </c>
      <c r="I76" s="49" t="s">
        <v>23</v>
      </c>
      <c r="J76" s="36">
        <v>73</v>
      </c>
      <c r="K76" s="36">
        <v>5</v>
      </c>
      <c r="L76" s="36">
        <v>365</v>
      </c>
      <c r="M76" s="35" t="s">
        <v>17</v>
      </c>
      <c r="N76" s="35" t="s">
        <v>29</v>
      </c>
      <c r="O76" s="35" t="s">
        <v>19</v>
      </c>
      <c r="Q76" s="1"/>
      <c r="X76" s="18"/>
      <c r="Y76" s="4"/>
      <c r="AD76" s="18"/>
      <c r="AJ76" s="16"/>
      <c r="AK76" s="14"/>
      <c r="AN76" s="15">
        <v>45070</v>
      </c>
      <c r="AO76" s="15"/>
    </row>
    <row r="77" spans="1:44" ht="18" customHeight="1" x14ac:dyDescent="0.35">
      <c r="A77" s="35" t="s">
        <v>165</v>
      </c>
      <c r="B77" s="46">
        <v>45172</v>
      </c>
      <c r="C77" s="46">
        <v>45178</v>
      </c>
      <c r="D77" s="47">
        <v>6</v>
      </c>
      <c r="E77" s="46"/>
      <c r="F77" s="35" t="s">
        <v>63</v>
      </c>
      <c r="G77" s="35" t="s">
        <v>53</v>
      </c>
      <c r="H77" s="35" t="str">
        <f>VLOOKUP(G77,ProductMaster!A:C,3,0)</f>
        <v>Fashion</v>
      </c>
      <c r="I77" s="49" t="s">
        <v>16</v>
      </c>
      <c r="J77" s="36">
        <v>43</v>
      </c>
      <c r="K77" s="36">
        <v>4</v>
      </c>
      <c r="L77" s="36">
        <v>172</v>
      </c>
      <c r="M77" s="35" t="s">
        <v>46</v>
      </c>
      <c r="N77" s="35" t="s">
        <v>25</v>
      </c>
      <c r="O77" s="35" t="s">
        <v>19</v>
      </c>
      <c r="Q77" s="1"/>
      <c r="X77" s="18"/>
      <c r="Y77" s="4"/>
      <c r="AD77" s="18"/>
      <c r="AJ77" s="16"/>
      <c r="AK77" s="14"/>
      <c r="AN77" s="15">
        <v>45172</v>
      </c>
      <c r="AO77" s="15">
        <v>45178</v>
      </c>
      <c r="AR77">
        <f t="shared" si="1"/>
        <v>6</v>
      </c>
    </row>
    <row r="78" spans="1:44" ht="18" customHeight="1" x14ac:dyDescent="0.35">
      <c r="A78" s="35" t="s">
        <v>166</v>
      </c>
      <c r="B78" s="46">
        <v>45232</v>
      </c>
      <c r="C78" s="46">
        <v>45234</v>
      </c>
      <c r="D78" s="47">
        <v>2</v>
      </c>
      <c r="E78" s="46"/>
      <c r="F78" s="35" t="s">
        <v>150</v>
      </c>
      <c r="G78" s="35" t="s">
        <v>111</v>
      </c>
      <c r="H78" s="35" t="str">
        <f>VLOOKUP(G78,ProductMaster!A:C,3,0)</f>
        <v>Home</v>
      </c>
      <c r="I78" s="49" t="s">
        <v>50</v>
      </c>
      <c r="J78" s="36">
        <v>214</v>
      </c>
      <c r="K78" s="36">
        <v>5</v>
      </c>
      <c r="L78" s="36">
        <v>1070</v>
      </c>
      <c r="M78" s="35" t="s">
        <v>46</v>
      </c>
      <c r="N78" s="35" t="s">
        <v>25</v>
      </c>
      <c r="O78" s="35" t="s">
        <v>34</v>
      </c>
      <c r="Q78" s="1"/>
      <c r="X78" s="18"/>
      <c r="Y78" s="4"/>
      <c r="AD78" s="18"/>
      <c r="AJ78" s="16"/>
      <c r="AK78" s="14"/>
      <c r="AN78" s="15">
        <v>45232</v>
      </c>
      <c r="AO78" s="15">
        <v>45234</v>
      </c>
      <c r="AR78">
        <f t="shared" si="1"/>
        <v>2</v>
      </c>
    </row>
    <row r="79" spans="1:44" ht="18" customHeight="1" x14ac:dyDescent="0.35">
      <c r="A79" s="35" t="s">
        <v>167</v>
      </c>
      <c r="B79" s="46">
        <v>45263</v>
      </c>
      <c r="C79" s="46"/>
      <c r="D79" s="47"/>
      <c r="E79" s="46">
        <v>45266</v>
      </c>
      <c r="F79" s="35" t="s">
        <v>152</v>
      </c>
      <c r="G79" s="35" t="s">
        <v>90</v>
      </c>
      <c r="H79" s="35" t="str">
        <f>VLOOKUP(G79,ProductMaster!A:C,3,0)</f>
        <v>Toys</v>
      </c>
      <c r="I79" s="49" t="s">
        <v>45</v>
      </c>
      <c r="J79" s="36">
        <v>42</v>
      </c>
      <c r="K79" s="36">
        <v>2</v>
      </c>
      <c r="L79" s="36">
        <v>84</v>
      </c>
      <c r="M79" s="35" t="s">
        <v>17</v>
      </c>
      <c r="N79" s="35" t="s">
        <v>18</v>
      </c>
      <c r="O79" s="35" t="s">
        <v>34</v>
      </c>
      <c r="Q79" s="1"/>
      <c r="X79" s="18"/>
      <c r="Y79" s="4"/>
      <c r="AD79" s="18"/>
      <c r="AJ79" s="16"/>
      <c r="AK79" s="14"/>
      <c r="AN79" s="15">
        <v>45263</v>
      </c>
      <c r="AO79" s="15"/>
    </row>
    <row r="80" spans="1:44" ht="18" customHeight="1" x14ac:dyDescent="0.35">
      <c r="A80" s="35" t="s">
        <v>168</v>
      </c>
      <c r="B80" s="46">
        <v>45017</v>
      </c>
      <c r="C80" s="46"/>
      <c r="D80" s="47"/>
      <c r="E80" s="46"/>
      <c r="F80" s="35" t="s">
        <v>152</v>
      </c>
      <c r="G80" s="35" t="s">
        <v>15</v>
      </c>
      <c r="H80" s="35" t="str">
        <f>VLOOKUP(G80,ProductMaster!A:C,3,0)</f>
        <v>Home</v>
      </c>
      <c r="I80" s="49" t="s">
        <v>16</v>
      </c>
      <c r="J80" s="36">
        <v>46</v>
      </c>
      <c r="K80" s="36">
        <v>1</v>
      </c>
      <c r="L80" s="36">
        <v>46</v>
      </c>
      <c r="M80" s="35" t="s">
        <v>41</v>
      </c>
      <c r="N80" s="35" t="s">
        <v>29</v>
      </c>
      <c r="O80" s="35" t="s">
        <v>34</v>
      </c>
      <c r="Q80" s="1"/>
      <c r="X80" s="18"/>
      <c r="Y80" s="4"/>
      <c r="AD80" s="18"/>
      <c r="AJ80" s="16"/>
      <c r="AK80" s="14"/>
      <c r="AN80" s="15">
        <v>45017</v>
      </c>
      <c r="AO80" s="15"/>
    </row>
    <row r="81" spans="1:44" ht="18" customHeight="1" x14ac:dyDescent="0.35">
      <c r="A81" s="35" t="s">
        <v>169</v>
      </c>
      <c r="B81" s="46">
        <v>45215</v>
      </c>
      <c r="C81" s="46">
        <v>45218</v>
      </c>
      <c r="D81" s="47">
        <v>3</v>
      </c>
      <c r="E81" s="46"/>
      <c r="F81" s="35" t="s">
        <v>108</v>
      </c>
      <c r="G81" s="35" t="s">
        <v>22</v>
      </c>
      <c r="H81" s="35" t="str">
        <f>VLOOKUP(G81,ProductMaster!A:C,3,0)</f>
        <v>Toys</v>
      </c>
      <c r="I81" s="49" t="s">
        <v>23</v>
      </c>
      <c r="J81" s="36">
        <v>95</v>
      </c>
      <c r="K81" s="36">
        <v>4</v>
      </c>
      <c r="L81" s="36">
        <v>380</v>
      </c>
      <c r="M81" s="35" t="s">
        <v>24</v>
      </c>
      <c r="N81" s="35" t="s">
        <v>25</v>
      </c>
      <c r="O81" s="35" t="s">
        <v>34</v>
      </c>
      <c r="Q81" s="1"/>
      <c r="X81" s="18"/>
      <c r="Y81" s="4"/>
      <c r="AD81" s="18"/>
      <c r="AJ81" s="16"/>
      <c r="AK81" s="14"/>
      <c r="AN81" s="15">
        <v>45215</v>
      </c>
      <c r="AO81" s="15">
        <v>45218</v>
      </c>
      <c r="AR81">
        <f t="shared" si="1"/>
        <v>3</v>
      </c>
    </row>
    <row r="82" spans="1:44" ht="18" customHeight="1" x14ac:dyDescent="0.35">
      <c r="A82" s="35" t="s">
        <v>170</v>
      </c>
      <c r="B82" s="46">
        <v>45235</v>
      </c>
      <c r="C82" s="46"/>
      <c r="D82" s="47"/>
      <c r="E82" s="46"/>
      <c r="F82" s="35" t="s">
        <v>121</v>
      </c>
      <c r="G82" s="35" t="s">
        <v>109</v>
      </c>
      <c r="H82" s="35" t="str">
        <f>VLOOKUP(G82,ProductMaster!A:C,3,0)</f>
        <v>Electronics</v>
      </c>
      <c r="I82" s="49" t="s">
        <v>50</v>
      </c>
      <c r="J82" s="36">
        <v>174</v>
      </c>
      <c r="K82" s="36">
        <v>2</v>
      </c>
      <c r="L82" s="36">
        <v>348</v>
      </c>
      <c r="M82" s="35" t="s">
        <v>33</v>
      </c>
      <c r="N82" s="35" t="s">
        <v>29</v>
      </c>
      <c r="O82" s="35" t="s">
        <v>34</v>
      </c>
      <c r="Q82" s="1"/>
      <c r="X82" s="18"/>
      <c r="Y82" s="4"/>
      <c r="AD82" s="18"/>
      <c r="AJ82" s="16"/>
      <c r="AK82" s="14"/>
      <c r="AN82" s="15">
        <v>45235</v>
      </c>
      <c r="AO82" s="15"/>
    </row>
    <row r="83" spans="1:44" ht="18" customHeight="1" x14ac:dyDescent="0.35">
      <c r="A83" s="35" t="s">
        <v>171</v>
      </c>
      <c r="B83" s="46">
        <v>45092</v>
      </c>
      <c r="C83" s="46"/>
      <c r="D83" s="47"/>
      <c r="E83" s="46">
        <v>45095</v>
      </c>
      <c r="F83" s="35" t="s">
        <v>57</v>
      </c>
      <c r="G83" s="35" t="s">
        <v>69</v>
      </c>
      <c r="H83" s="35" t="str">
        <f>VLOOKUP(G83,ProductMaster!A:C,3,0)</f>
        <v>Fashion</v>
      </c>
      <c r="I83" s="49" t="s">
        <v>16</v>
      </c>
      <c r="J83" s="36">
        <v>27</v>
      </c>
      <c r="K83" s="36">
        <v>5</v>
      </c>
      <c r="L83" s="36">
        <v>135</v>
      </c>
      <c r="M83" s="35" t="s">
        <v>24</v>
      </c>
      <c r="N83" s="35" t="s">
        <v>18</v>
      </c>
      <c r="O83" s="35" t="s">
        <v>38</v>
      </c>
      <c r="Q83" s="1"/>
      <c r="X83" s="18"/>
      <c r="Y83" s="4"/>
      <c r="AD83" s="18"/>
      <c r="AJ83" s="16"/>
      <c r="AK83" s="14"/>
      <c r="AN83" s="15">
        <v>45092</v>
      </c>
      <c r="AO83" s="15"/>
    </row>
    <row r="84" spans="1:44" ht="18" customHeight="1" x14ac:dyDescent="0.35">
      <c r="A84" s="35" t="s">
        <v>172</v>
      </c>
      <c r="B84" s="46">
        <v>45227</v>
      </c>
      <c r="C84" s="46">
        <v>45229</v>
      </c>
      <c r="D84" s="47">
        <v>2</v>
      </c>
      <c r="E84" s="46"/>
      <c r="F84" s="35" t="s">
        <v>14</v>
      </c>
      <c r="G84" s="35" t="s">
        <v>69</v>
      </c>
      <c r="H84" s="35" t="str">
        <f>VLOOKUP(G84,ProductMaster!A:C,3,0)</f>
        <v>Fashion</v>
      </c>
      <c r="I84" s="49" t="s">
        <v>28</v>
      </c>
      <c r="J84" s="36">
        <v>27</v>
      </c>
      <c r="K84" s="36">
        <v>4</v>
      </c>
      <c r="L84" s="36">
        <v>108</v>
      </c>
      <c r="M84" s="35" t="s">
        <v>33</v>
      </c>
      <c r="N84" s="35" t="s">
        <v>25</v>
      </c>
      <c r="O84" s="35" t="s">
        <v>30</v>
      </c>
      <c r="Q84" s="1"/>
      <c r="X84" s="18"/>
      <c r="Y84" s="4"/>
      <c r="AD84" s="18"/>
      <c r="AJ84" s="16"/>
      <c r="AK84" s="14"/>
      <c r="AN84" s="15">
        <v>45227</v>
      </c>
      <c r="AO84" s="15">
        <v>45229</v>
      </c>
      <c r="AR84">
        <f t="shared" si="1"/>
        <v>2</v>
      </c>
    </row>
    <row r="85" spans="1:44" ht="18" customHeight="1" x14ac:dyDescent="0.35">
      <c r="A85" s="35" t="s">
        <v>173</v>
      </c>
      <c r="B85" s="46">
        <v>45282</v>
      </c>
      <c r="C85" s="46"/>
      <c r="D85" s="47"/>
      <c r="E85" s="46"/>
      <c r="F85" s="35" t="s">
        <v>174</v>
      </c>
      <c r="G85" s="35" t="s">
        <v>92</v>
      </c>
      <c r="H85" s="35" t="str">
        <f>VLOOKUP(G85,ProductMaster!A:C,3,0)</f>
        <v>Fashion</v>
      </c>
      <c r="I85" s="49" t="s">
        <v>28</v>
      </c>
      <c r="J85" s="36">
        <v>65</v>
      </c>
      <c r="K85" s="36">
        <v>2</v>
      </c>
      <c r="L85" s="36">
        <v>130</v>
      </c>
      <c r="M85" s="35" t="s">
        <v>33</v>
      </c>
      <c r="N85" s="35" t="s">
        <v>29</v>
      </c>
      <c r="O85" s="35" t="s">
        <v>19</v>
      </c>
      <c r="Q85" s="1"/>
      <c r="X85" s="18"/>
      <c r="Y85" s="4"/>
      <c r="AD85" s="18"/>
      <c r="AJ85" s="16"/>
      <c r="AK85" s="14"/>
      <c r="AN85" s="15">
        <v>45282</v>
      </c>
      <c r="AO85" s="15"/>
    </row>
    <row r="86" spans="1:44" ht="18" customHeight="1" x14ac:dyDescent="0.35">
      <c r="A86" s="35" t="s">
        <v>175</v>
      </c>
      <c r="B86" s="46">
        <v>44992</v>
      </c>
      <c r="C86" s="46"/>
      <c r="D86" s="47"/>
      <c r="E86" s="46"/>
      <c r="F86" s="35" t="s">
        <v>60</v>
      </c>
      <c r="G86" s="35" t="s">
        <v>53</v>
      </c>
      <c r="H86" s="35" t="str">
        <f>VLOOKUP(G86,ProductMaster!A:C,3,0)</f>
        <v>Fashion</v>
      </c>
      <c r="I86" s="49" t="s">
        <v>23</v>
      </c>
      <c r="J86" s="36">
        <v>43</v>
      </c>
      <c r="K86" s="36">
        <v>5</v>
      </c>
      <c r="L86" s="36">
        <v>215</v>
      </c>
      <c r="M86" s="35" t="s">
        <v>46</v>
      </c>
      <c r="N86" s="35" t="s">
        <v>29</v>
      </c>
      <c r="O86" s="35" t="s">
        <v>19</v>
      </c>
      <c r="Q86" s="1"/>
      <c r="X86" s="18"/>
      <c r="Y86" s="4"/>
      <c r="AD86" s="18"/>
      <c r="AJ86" s="16"/>
      <c r="AK86" s="14"/>
      <c r="AN86" s="15">
        <v>44992</v>
      </c>
      <c r="AO86" s="15"/>
    </row>
    <row r="87" spans="1:44" ht="18" customHeight="1" x14ac:dyDescent="0.35">
      <c r="A87" s="35" t="s">
        <v>176</v>
      </c>
      <c r="B87" s="46">
        <v>45240</v>
      </c>
      <c r="C87" s="46"/>
      <c r="D87" s="47"/>
      <c r="E87" s="46"/>
      <c r="F87" s="35" t="s">
        <v>97</v>
      </c>
      <c r="G87" s="35" t="s">
        <v>111</v>
      </c>
      <c r="H87" s="35" t="str">
        <f>VLOOKUP(G87,ProductMaster!A:C,3,0)</f>
        <v>Home</v>
      </c>
      <c r="I87" s="49" t="s">
        <v>50</v>
      </c>
      <c r="J87" s="36">
        <v>210</v>
      </c>
      <c r="K87" s="36">
        <v>1</v>
      </c>
      <c r="L87" s="36">
        <v>210</v>
      </c>
      <c r="M87" s="35" t="s">
        <v>33</v>
      </c>
      <c r="N87" s="35" t="s">
        <v>29</v>
      </c>
      <c r="O87" s="35" t="s">
        <v>34</v>
      </c>
      <c r="Q87" s="1"/>
      <c r="X87" s="18"/>
      <c r="Y87" s="4"/>
      <c r="AD87" s="18"/>
      <c r="AJ87" s="16"/>
      <c r="AK87" s="14"/>
      <c r="AN87" s="15">
        <v>45240</v>
      </c>
      <c r="AO87" s="15"/>
    </row>
    <row r="88" spans="1:44" ht="18" customHeight="1" x14ac:dyDescent="0.35">
      <c r="A88" s="35" t="s">
        <v>177</v>
      </c>
      <c r="B88" s="46">
        <v>45252</v>
      </c>
      <c r="C88" s="46"/>
      <c r="D88" s="47"/>
      <c r="E88" s="46"/>
      <c r="F88" s="35" t="s">
        <v>178</v>
      </c>
      <c r="G88" s="35" t="s">
        <v>49</v>
      </c>
      <c r="H88" s="35" t="str">
        <f>VLOOKUP(G88,ProductMaster!A:C,3,0)</f>
        <v>Home</v>
      </c>
      <c r="I88" s="34" t="s">
        <v>28</v>
      </c>
      <c r="J88" s="36">
        <v>37</v>
      </c>
      <c r="K88" s="36">
        <v>3</v>
      </c>
      <c r="L88" s="36">
        <v>111</v>
      </c>
      <c r="M88" s="35" t="s">
        <v>24</v>
      </c>
      <c r="N88" s="35" t="s">
        <v>29</v>
      </c>
      <c r="O88" s="35" t="s">
        <v>34</v>
      </c>
      <c r="Q88" s="1"/>
      <c r="X88" s="18"/>
      <c r="Y88" s="4"/>
      <c r="AD88" s="18"/>
      <c r="AJ88" s="16"/>
      <c r="AK88" s="14"/>
      <c r="AN88" s="15">
        <v>45252</v>
      </c>
      <c r="AO88" s="15"/>
    </row>
    <row r="89" spans="1:44" ht="18" customHeight="1" x14ac:dyDescent="0.35">
      <c r="A89" s="35" t="s">
        <v>179</v>
      </c>
      <c r="B89" s="46">
        <v>45054</v>
      </c>
      <c r="C89" s="46"/>
      <c r="D89" s="47"/>
      <c r="E89" s="46"/>
      <c r="F89" s="35" t="s">
        <v>97</v>
      </c>
      <c r="G89" s="35" t="s">
        <v>81</v>
      </c>
      <c r="H89" s="35" t="str">
        <f>VLOOKUP(G89,ProductMaster!A:C,3,0)</f>
        <v>Electronics</v>
      </c>
      <c r="I89" s="49" t="s">
        <v>28</v>
      </c>
      <c r="J89" s="36">
        <v>788</v>
      </c>
      <c r="K89" s="36">
        <v>4</v>
      </c>
      <c r="L89" s="36">
        <v>3152</v>
      </c>
      <c r="M89" s="35" t="s">
        <v>46</v>
      </c>
      <c r="N89" s="35" t="s">
        <v>29</v>
      </c>
      <c r="O89" s="35" t="s">
        <v>38</v>
      </c>
      <c r="Q89" s="1"/>
      <c r="X89" s="18"/>
      <c r="Y89" s="4"/>
      <c r="AD89" s="18"/>
      <c r="AJ89" s="16"/>
      <c r="AK89" s="14"/>
      <c r="AN89" s="15">
        <v>45054</v>
      </c>
      <c r="AO89" s="15"/>
    </row>
    <row r="90" spans="1:44" ht="18" customHeight="1" x14ac:dyDescent="0.35">
      <c r="A90" s="35" t="s">
        <v>180</v>
      </c>
      <c r="B90" s="46">
        <v>45120</v>
      </c>
      <c r="C90" s="46"/>
      <c r="D90" s="47"/>
      <c r="E90" s="46"/>
      <c r="F90" s="35" t="s">
        <v>97</v>
      </c>
      <c r="G90" s="35" t="s">
        <v>111</v>
      </c>
      <c r="H90" s="35" t="str">
        <f>VLOOKUP(G90,ProductMaster!A:C,3,0)</f>
        <v>Home</v>
      </c>
      <c r="I90" s="49" t="s">
        <v>50</v>
      </c>
      <c r="J90" s="36">
        <v>217</v>
      </c>
      <c r="K90" s="36">
        <v>5</v>
      </c>
      <c r="L90" s="36">
        <v>1085</v>
      </c>
      <c r="M90" s="35" t="s">
        <v>46</v>
      </c>
      <c r="N90" s="35" t="s">
        <v>29</v>
      </c>
      <c r="O90" s="35" t="s">
        <v>61</v>
      </c>
      <c r="Q90" s="1"/>
      <c r="X90" s="18"/>
      <c r="Y90" s="4"/>
      <c r="AD90" s="18"/>
      <c r="AJ90" s="16"/>
      <c r="AK90" s="14"/>
      <c r="AN90" s="15">
        <v>45120</v>
      </c>
      <c r="AO90" s="15"/>
    </row>
    <row r="91" spans="1:44" ht="18" customHeight="1" x14ac:dyDescent="0.35">
      <c r="A91" s="35" t="s">
        <v>181</v>
      </c>
      <c r="B91" s="46">
        <v>44944</v>
      </c>
      <c r="C91" s="46"/>
      <c r="D91" s="47"/>
      <c r="E91" s="46"/>
      <c r="F91" s="35" t="s">
        <v>97</v>
      </c>
      <c r="G91" s="35" t="s">
        <v>55</v>
      </c>
      <c r="H91" s="35" t="str">
        <f>VLOOKUP(G91,ProductMaster!A:C,3,0)</f>
        <v>Home</v>
      </c>
      <c r="I91" s="49" t="s">
        <v>50</v>
      </c>
      <c r="J91" s="36">
        <v>138</v>
      </c>
      <c r="K91" s="36">
        <v>4</v>
      </c>
      <c r="L91" s="36">
        <v>552</v>
      </c>
      <c r="M91" s="35" t="s">
        <v>24</v>
      </c>
      <c r="N91" s="35" t="s">
        <v>29</v>
      </c>
      <c r="O91" s="35" t="s">
        <v>61</v>
      </c>
      <c r="Q91" s="1"/>
      <c r="X91" s="18"/>
      <c r="Y91" s="4"/>
      <c r="AD91" s="18"/>
      <c r="AJ91" s="16"/>
      <c r="AK91" s="14"/>
      <c r="AN91" s="15">
        <v>44944</v>
      </c>
      <c r="AO91" s="15"/>
    </row>
    <row r="92" spans="1:44" ht="18" customHeight="1" x14ac:dyDescent="0.35">
      <c r="A92" s="35" t="s">
        <v>182</v>
      </c>
      <c r="B92" s="46">
        <v>45100</v>
      </c>
      <c r="C92" s="46">
        <v>45106</v>
      </c>
      <c r="D92" s="47">
        <v>6</v>
      </c>
      <c r="E92" s="46"/>
      <c r="F92" s="35" t="s">
        <v>183</v>
      </c>
      <c r="G92" s="35" t="s">
        <v>81</v>
      </c>
      <c r="H92" s="35" t="str">
        <f>VLOOKUP(G92,ProductMaster!A:C,3,0)</f>
        <v>Electronics</v>
      </c>
      <c r="I92" s="49" t="s">
        <v>45</v>
      </c>
      <c r="J92" s="36">
        <v>803</v>
      </c>
      <c r="K92" s="36">
        <v>2</v>
      </c>
      <c r="L92" s="36">
        <v>1606</v>
      </c>
      <c r="M92" s="35" t="s">
        <v>17</v>
      </c>
      <c r="N92" s="35" t="s">
        <v>25</v>
      </c>
      <c r="O92" s="35" t="s">
        <v>61</v>
      </c>
      <c r="Q92" s="1"/>
      <c r="X92" s="18"/>
      <c r="Y92" s="4"/>
      <c r="AD92" s="18"/>
      <c r="AJ92" s="16"/>
      <c r="AK92" s="14"/>
      <c r="AN92" s="15">
        <v>45100</v>
      </c>
      <c r="AO92" s="15">
        <v>45106</v>
      </c>
      <c r="AR92">
        <f t="shared" si="1"/>
        <v>6</v>
      </c>
    </row>
    <row r="93" spans="1:44" ht="18" customHeight="1" x14ac:dyDescent="0.35">
      <c r="A93" s="35" t="s">
        <v>184</v>
      </c>
      <c r="B93" s="46">
        <v>44978</v>
      </c>
      <c r="C93" s="46"/>
      <c r="D93" s="47"/>
      <c r="E93" s="46">
        <v>44982</v>
      </c>
      <c r="F93" s="35" t="s">
        <v>52</v>
      </c>
      <c r="G93" s="35" t="s">
        <v>58</v>
      </c>
      <c r="H93" s="35" t="str">
        <f>VLOOKUP(G93,ProductMaster!A:C,3,0)</f>
        <v>Electronics</v>
      </c>
      <c r="I93" s="49" t="s">
        <v>16</v>
      </c>
      <c r="J93" s="36">
        <v>248</v>
      </c>
      <c r="K93" s="36">
        <v>5</v>
      </c>
      <c r="L93" s="36">
        <v>1240</v>
      </c>
      <c r="M93" s="35" t="s">
        <v>33</v>
      </c>
      <c r="N93" s="35" t="s">
        <v>18</v>
      </c>
      <c r="O93" s="35" t="s">
        <v>34</v>
      </c>
      <c r="Q93" s="1"/>
      <c r="X93" s="18"/>
      <c r="Y93" s="4"/>
      <c r="AD93" s="18"/>
      <c r="AJ93" s="16"/>
      <c r="AK93" s="14"/>
      <c r="AN93" s="15">
        <v>44978</v>
      </c>
      <c r="AO93" s="15"/>
    </row>
    <row r="94" spans="1:44" ht="18" customHeight="1" x14ac:dyDescent="0.35">
      <c r="A94" s="35" t="s">
        <v>185</v>
      </c>
      <c r="B94" s="46">
        <v>44976</v>
      </c>
      <c r="C94" s="46">
        <v>44978</v>
      </c>
      <c r="D94" s="47">
        <v>2</v>
      </c>
      <c r="E94" s="46"/>
      <c r="F94" s="35" t="s">
        <v>186</v>
      </c>
      <c r="G94" s="35" t="s">
        <v>111</v>
      </c>
      <c r="H94" s="35" t="str">
        <f>VLOOKUP(G94,ProductMaster!A:C,3,0)</f>
        <v>Home</v>
      </c>
      <c r="I94" s="49" t="s">
        <v>23</v>
      </c>
      <c r="J94" s="36">
        <v>210</v>
      </c>
      <c r="K94" s="36">
        <v>3</v>
      </c>
      <c r="L94" s="36">
        <v>630</v>
      </c>
      <c r="M94" s="35" t="s">
        <v>17</v>
      </c>
      <c r="N94" s="35" t="s">
        <v>25</v>
      </c>
      <c r="O94" s="35" t="s">
        <v>19</v>
      </c>
      <c r="Q94" s="1"/>
      <c r="X94" s="18"/>
      <c r="Y94" s="4"/>
      <c r="AD94" s="18"/>
      <c r="AJ94" s="16"/>
      <c r="AK94" s="14"/>
      <c r="AN94" s="15">
        <v>44976</v>
      </c>
      <c r="AO94" s="15">
        <v>44978</v>
      </c>
      <c r="AR94">
        <f t="shared" si="1"/>
        <v>2</v>
      </c>
    </row>
    <row r="95" spans="1:44" ht="18" customHeight="1" x14ac:dyDescent="0.35">
      <c r="A95" s="35" t="s">
        <v>187</v>
      </c>
      <c r="B95" s="46">
        <v>45265</v>
      </c>
      <c r="C95" s="46"/>
      <c r="D95" s="47"/>
      <c r="E95" s="46">
        <v>45272</v>
      </c>
      <c r="F95" s="35" t="s">
        <v>52</v>
      </c>
      <c r="G95" s="35" t="s">
        <v>119</v>
      </c>
      <c r="H95" s="35" t="str">
        <f>VLOOKUP(G95,ProductMaster!A:C,3,0)</f>
        <v>Toys</v>
      </c>
      <c r="I95" s="49" t="s">
        <v>16</v>
      </c>
      <c r="J95" s="36">
        <v>62</v>
      </c>
      <c r="K95" s="36">
        <v>2</v>
      </c>
      <c r="L95" s="36">
        <v>124</v>
      </c>
      <c r="M95" s="35" t="s">
        <v>24</v>
      </c>
      <c r="N95" s="35" t="s">
        <v>18</v>
      </c>
      <c r="O95" s="35" t="s">
        <v>61</v>
      </c>
      <c r="Q95" s="1"/>
      <c r="X95" s="18"/>
      <c r="Y95" s="4"/>
      <c r="AD95" s="18"/>
      <c r="AJ95" s="16"/>
      <c r="AK95" s="14"/>
      <c r="AN95" s="15">
        <v>45265</v>
      </c>
      <c r="AO95" s="15"/>
    </row>
    <row r="96" spans="1:44" ht="18" customHeight="1" x14ac:dyDescent="0.35">
      <c r="A96" s="35" t="s">
        <v>188</v>
      </c>
      <c r="B96" s="46">
        <v>45084</v>
      </c>
      <c r="C96" s="46"/>
      <c r="D96" s="47"/>
      <c r="E96" s="46">
        <v>45089</v>
      </c>
      <c r="F96" s="35" t="s">
        <v>178</v>
      </c>
      <c r="G96" s="35" t="s">
        <v>104</v>
      </c>
      <c r="H96" s="35" t="str">
        <f>VLOOKUP(G96,ProductMaster!A:C,3,0)</f>
        <v>Books</v>
      </c>
      <c r="I96" s="49" t="s">
        <v>28</v>
      </c>
      <c r="J96" s="36">
        <v>11</v>
      </c>
      <c r="K96" s="36">
        <v>5</v>
      </c>
      <c r="L96" s="36">
        <v>55</v>
      </c>
      <c r="M96" s="35" t="s">
        <v>46</v>
      </c>
      <c r="N96" s="35" t="s">
        <v>18</v>
      </c>
      <c r="O96" s="35" t="s">
        <v>38</v>
      </c>
      <c r="Q96" s="1"/>
      <c r="X96" s="18"/>
      <c r="Y96" s="4"/>
      <c r="AD96" s="18"/>
      <c r="AJ96" s="16"/>
      <c r="AK96" s="14"/>
      <c r="AN96" s="15">
        <v>45084</v>
      </c>
      <c r="AO96" s="15"/>
    </row>
    <row r="97" spans="1:44" ht="18" customHeight="1" x14ac:dyDescent="0.35">
      <c r="A97" s="35" t="s">
        <v>189</v>
      </c>
      <c r="B97" s="46">
        <v>45116</v>
      </c>
      <c r="C97" s="46">
        <v>45119</v>
      </c>
      <c r="D97" s="47">
        <v>3</v>
      </c>
      <c r="E97" s="46"/>
      <c r="F97" s="35" t="s">
        <v>139</v>
      </c>
      <c r="G97" s="35" t="s">
        <v>73</v>
      </c>
      <c r="H97" s="35" t="str">
        <f>VLOOKUP(G97,ProductMaster!A:C,3,0)</f>
        <v>Books</v>
      </c>
      <c r="I97" s="49" t="s">
        <v>16</v>
      </c>
      <c r="J97" s="36">
        <v>21</v>
      </c>
      <c r="K97" s="36">
        <v>2</v>
      </c>
      <c r="L97" s="36">
        <v>42</v>
      </c>
      <c r="M97" s="35" t="s">
        <v>41</v>
      </c>
      <c r="N97" s="35" t="s">
        <v>25</v>
      </c>
      <c r="O97" s="35" t="s">
        <v>34</v>
      </c>
      <c r="Q97" s="1"/>
      <c r="X97" s="18"/>
      <c r="Y97" s="4"/>
      <c r="AD97" s="18"/>
      <c r="AJ97" s="16"/>
      <c r="AK97" s="14"/>
      <c r="AN97" s="15">
        <v>45116</v>
      </c>
      <c r="AO97" s="15">
        <v>45119</v>
      </c>
      <c r="AR97">
        <f t="shared" si="1"/>
        <v>3</v>
      </c>
    </row>
    <row r="98" spans="1:44" ht="18" customHeight="1" x14ac:dyDescent="0.35">
      <c r="A98" s="35" t="s">
        <v>190</v>
      </c>
      <c r="B98" s="46">
        <v>45283</v>
      </c>
      <c r="C98" s="46">
        <v>45286</v>
      </c>
      <c r="D98" s="47">
        <v>3</v>
      </c>
      <c r="E98" s="46"/>
      <c r="F98" s="35" t="s">
        <v>63</v>
      </c>
      <c r="G98" s="35" t="s">
        <v>22</v>
      </c>
      <c r="H98" s="35" t="str">
        <f>VLOOKUP(G98,ProductMaster!A:C,3,0)</f>
        <v>Toys</v>
      </c>
      <c r="I98" s="49" t="s">
        <v>50</v>
      </c>
      <c r="J98" s="36">
        <v>95</v>
      </c>
      <c r="K98" s="36">
        <v>5</v>
      </c>
      <c r="L98" s="36">
        <v>475</v>
      </c>
      <c r="M98" s="35" t="s">
        <v>41</v>
      </c>
      <c r="N98" s="35" t="s">
        <v>25</v>
      </c>
      <c r="O98" s="35" t="s">
        <v>38</v>
      </c>
      <c r="Q98" s="1"/>
      <c r="X98" s="18"/>
      <c r="Y98" s="4"/>
      <c r="AD98" s="18"/>
      <c r="AJ98" s="16"/>
      <c r="AK98" s="14"/>
      <c r="AN98" s="15">
        <v>45283</v>
      </c>
      <c r="AO98" s="15">
        <v>45286</v>
      </c>
      <c r="AR98">
        <f t="shared" si="1"/>
        <v>3</v>
      </c>
    </row>
    <row r="99" spans="1:44" ht="18" customHeight="1" x14ac:dyDescent="0.35">
      <c r="A99" s="35" t="s">
        <v>191</v>
      </c>
      <c r="B99" s="46">
        <v>45194</v>
      </c>
      <c r="C99" s="46">
        <v>45199</v>
      </c>
      <c r="D99" s="47">
        <v>5</v>
      </c>
      <c r="E99" s="46"/>
      <c r="F99" s="35" t="s">
        <v>32</v>
      </c>
      <c r="G99" s="35" t="s">
        <v>111</v>
      </c>
      <c r="H99" s="35" t="str">
        <f>VLOOKUP(G99,ProductMaster!A:C,3,0)</f>
        <v>Home</v>
      </c>
      <c r="I99" s="49" t="s">
        <v>28</v>
      </c>
      <c r="J99" s="36">
        <v>215</v>
      </c>
      <c r="K99" s="36">
        <v>2</v>
      </c>
      <c r="L99" s="36">
        <v>430</v>
      </c>
      <c r="M99" s="35" t="s">
        <v>33</v>
      </c>
      <c r="N99" s="35" t="s">
        <v>25</v>
      </c>
      <c r="O99" s="35" t="s">
        <v>38</v>
      </c>
      <c r="Q99" s="1"/>
      <c r="X99" s="18"/>
      <c r="Y99" s="4"/>
      <c r="AD99" s="18"/>
      <c r="AJ99" s="16"/>
      <c r="AK99" s="14"/>
      <c r="AN99" s="15">
        <v>45194</v>
      </c>
      <c r="AO99" s="15">
        <v>45199</v>
      </c>
      <c r="AR99">
        <f t="shared" si="1"/>
        <v>5</v>
      </c>
    </row>
    <row r="100" spans="1:44" ht="18" customHeight="1" x14ac:dyDescent="0.35">
      <c r="A100" s="35" t="s">
        <v>192</v>
      </c>
      <c r="B100" s="46">
        <v>44944</v>
      </c>
      <c r="C100" s="46"/>
      <c r="D100" s="47"/>
      <c r="E100" s="46">
        <v>44950</v>
      </c>
      <c r="F100" s="35" t="s">
        <v>193</v>
      </c>
      <c r="G100" s="35" t="s">
        <v>53</v>
      </c>
      <c r="H100" s="35" t="str">
        <f>VLOOKUP(G100,ProductMaster!A:C,3,0)</f>
        <v>Fashion</v>
      </c>
      <c r="I100" s="49" t="s">
        <v>50</v>
      </c>
      <c r="J100" s="36">
        <v>43</v>
      </c>
      <c r="K100" s="36">
        <v>5</v>
      </c>
      <c r="L100" s="36">
        <v>215</v>
      </c>
      <c r="M100" s="35" t="s">
        <v>24</v>
      </c>
      <c r="N100" s="35" t="s">
        <v>18</v>
      </c>
      <c r="O100" s="35" t="s">
        <v>34</v>
      </c>
      <c r="Q100" s="1"/>
      <c r="X100" s="18"/>
      <c r="Y100" s="4"/>
      <c r="AD100" s="18"/>
      <c r="AJ100" s="16"/>
      <c r="AK100" s="14"/>
      <c r="AN100" s="15">
        <v>44944</v>
      </c>
      <c r="AO100" s="15"/>
    </row>
    <row r="101" spans="1:44" ht="18" customHeight="1" x14ac:dyDescent="0.35">
      <c r="A101" s="35" t="s">
        <v>194</v>
      </c>
      <c r="B101" s="46">
        <v>45012</v>
      </c>
      <c r="C101" s="46"/>
      <c r="D101" s="47"/>
      <c r="E101" s="46"/>
      <c r="F101" s="35" t="s">
        <v>40</v>
      </c>
      <c r="G101" s="35" t="s">
        <v>90</v>
      </c>
      <c r="H101" s="35" t="str">
        <f>VLOOKUP(G101,ProductMaster!A:C,3,0)</f>
        <v>Toys</v>
      </c>
      <c r="I101" s="49" t="s">
        <v>50</v>
      </c>
      <c r="J101" s="36">
        <v>42</v>
      </c>
      <c r="K101" s="36">
        <v>4</v>
      </c>
      <c r="L101" s="36">
        <v>168</v>
      </c>
      <c r="M101" s="35" t="s">
        <v>46</v>
      </c>
      <c r="N101" s="35" t="s">
        <v>29</v>
      </c>
      <c r="O101" s="35" t="s">
        <v>19</v>
      </c>
      <c r="Q101" s="1"/>
      <c r="X101" s="18"/>
      <c r="Y101" s="4"/>
      <c r="AD101" s="18"/>
      <c r="AJ101" s="16"/>
      <c r="AK101" s="14"/>
      <c r="AN101" s="15">
        <v>45012</v>
      </c>
      <c r="AO101" s="15"/>
    </row>
    <row r="102" spans="1:44" ht="14.25" customHeight="1" x14ac:dyDescent="0.35">
      <c r="A102" s="1"/>
      <c r="B102" s="15"/>
      <c r="C102" s="20"/>
      <c r="D102" s="16"/>
      <c r="E102" s="15"/>
      <c r="F102" s="1"/>
      <c r="G102" s="1"/>
      <c r="H102" s="8"/>
      <c r="I102" s="1"/>
      <c r="J102" s="11"/>
      <c r="K102" s="11"/>
      <c r="L102" s="11"/>
      <c r="M102" s="1"/>
      <c r="N102" s="1"/>
      <c r="O102" s="1"/>
      <c r="P102" s="4"/>
      <c r="Q102" s="1"/>
      <c r="Y102" s="4"/>
      <c r="AJ102" s="16"/>
      <c r="AK102" s="14"/>
      <c r="AN102" s="15"/>
      <c r="AO102" s="20"/>
    </row>
    <row r="103" spans="1:44" ht="14.25" customHeight="1" x14ac:dyDescent="0.35">
      <c r="D103"/>
      <c r="H103" s="8"/>
      <c r="J103"/>
      <c r="K103"/>
      <c r="L103"/>
      <c r="Q103" s="1"/>
      <c r="Y103" s="4"/>
      <c r="AJ103"/>
      <c r="AK103" s="14"/>
    </row>
    <row r="104" spans="1:44" ht="14.25" customHeight="1" x14ac:dyDescent="0.35">
      <c r="D104"/>
      <c r="H104" s="8"/>
      <c r="J104"/>
      <c r="K104"/>
      <c r="L104"/>
      <c r="Q104" s="1"/>
      <c r="Y104" s="4"/>
      <c r="AJ104"/>
      <c r="AK104" s="14"/>
    </row>
    <row r="105" spans="1:44" ht="14.25" customHeight="1" x14ac:dyDescent="0.35">
      <c r="D105"/>
      <c r="H105" s="8"/>
      <c r="J105"/>
      <c r="K105"/>
      <c r="L105"/>
      <c r="Q105" s="1"/>
      <c r="Y105" s="4"/>
      <c r="AJ105"/>
      <c r="AK105" s="14"/>
    </row>
    <row r="106" spans="1:44" ht="14.25" customHeight="1" x14ac:dyDescent="0.35">
      <c r="D106"/>
      <c r="H106" s="8"/>
      <c r="J106"/>
      <c r="K106"/>
      <c r="L106"/>
      <c r="Q106" s="1"/>
      <c r="Y106" s="4"/>
      <c r="AJ106"/>
      <c r="AK106" s="14"/>
    </row>
    <row r="107" spans="1:44" ht="14.25" customHeight="1" x14ac:dyDescent="0.35">
      <c r="D107"/>
      <c r="H107" s="8"/>
      <c r="J107"/>
      <c r="K107"/>
      <c r="L107"/>
      <c r="Q107" s="1"/>
      <c r="Y107" s="4"/>
      <c r="AJ107"/>
      <c r="AK107" s="14"/>
    </row>
    <row r="108" spans="1:44" ht="14.25" customHeight="1" x14ac:dyDescent="0.35">
      <c r="D108"/>
      <c r="H108" s="8"/>
      <c r="J108"/>
      <c r="K108"/>
      <c r="L108"/>
      <c r="Q108" s="1"/>
      <c r="Y108" s="4"/>
      <c r="AJ108"/>
      <c r="AK108" s="14"/>
    </row>
    <row r="109" spans="1:44" ht="14.25" customHeight="1" x14ac:dyDescent="0.35">
      <c r="D109"/>
      <c r="H109" s="8"/>
      <c r="J109"/>
      <c r="K109"/>
      <c r="L109"/>
      <c r="Q109" s="1"/>
      <c r="Y109" s="4"/>
      <c r="AJ109"/>
      <c r="AK109" s="14"/>
    </row>
    <row r="110" spans="1:44" ht="14.25" customHeight="1" x14ac:dyDescent="0.35">
      <c r="D110"/>
      <c r="H110" s="8"/>
      <c r="J110"/>
      <c r="K110"/>
      <c r="L110"/>
      <c r="Q110" s="1"/>
      <c r="Y110" s="4"/>
      <c r="AJ110"/>
      <c r="AK110" s="14"/>
    </row>
    <row r="111" spans="1:44" ht="14.25" customHeight="1" x14ac:dyDescent="0.35">
      <c r="D111"/>
      <c r="H111" s="8"/>
      <c r="J111"/>
      <c r="K111"/>
      <c r="L111"/>
      <c r="Q111" s="1"/>
      <c r="Y111" s="4"/>
      <c r="AJ111"/>
      <c r="AK111" s="14"/>
    </row>
    <row r="112" spans="1:44" ht="14.25" customHeight="1" x14ac:dyDescent="0.35">
      <c r="D112"/>
      <c r="H112" s="8"/>
      <c r="J112"/>
      <c r="K112"/>
      <c r="L112"/>
      <c r="Q112" s="1"/>
      <c r="Y112" s="4"/>
      <c r="AJ112"/>
      <c r="AK112" s="14"/>
    </row>
    <row r="113" spans="4:37" ht="14.25" customHeight="1" x14ac:dyDescent="0.35">
      <c r="D113"/>
      <c r="H113" s="8"/>
      <c r="J113"/>
      <c r="K113"/>
      <c r="L113"/>
      <c r="Q113" s="1"/>
      <c r="Y113" s="4"/>
      <c r="AJ113"/>
      <c r="AK113" s="14"/>
    </row>
    <row r="114" spans="4:37" ht="14.25" customHeight="1" x14ac:dyDescent="0.35">
      <c r="D114"/>
      <c r="H114" s="8"/>
      <c r="J114"/>
      <c r="K114"/>
      <c r="L114"/>
      <c r="Q114" s="1"/>
      <c r="Y114" s="4"/>
      <c r="AJ114"/>
      <c r="AK114" s="14"/>
    </row>
    <row r="115" spans="4:37" ht="14.25" customHeight="1" x14ac:dyDescent="0.35">
      <c r="D115"/>
      <c r="H115" s="8"/>
      <c r="J115"/>
      <c r="K115"/>
      <c r="L115"/>
      <c r="Q115" s="1"/>
      <c r="Y115" s="4"/>
      <c r="AJ115"/>
      <c r="AK115" s="14"/>
    </row>
    <row r="116" spans="4:37" ht="14.25" customHeight="1" x14ac:dyDescent="0.35">
      <c r="D116"/>
      <c r="H116" s="8"/>
      <c r="J116"/>
      <c r="K116"/>
      <c r="L116"/>
      <c r="Q116" s="1"/>
      <c r="Y116" s="4"/>
      <c r="AJ116"/>
      <c r="AK116" s="14"/>
    </row>
    <row r="117" spans="4:37" ht="14.25" customHeight="1" x14ac:dyDescent="0.35">
      <c r="D117"/>
      <c r="H117" s="8"/>
      <c r="J117"/>
      <c r="K117"/>
      <c r="L117"/>
      <c r="Q117" s="1"/>
      <c r="Y117" s="4"/>
      <c r="AJ117"/>
      <c r="AK117" s="14"/>
    </row>
    <row r="118" spans="4:37" ht="14.25" customHeight="1" x14ac:dyDescent="0.35">
      <c r="D118"/>
      <c r="H118" s="8"/>
      <c r="J118"/>
      <c r="K118"/>
      <c r="L118"/>
      <c r="Q118" s="1"/>
      <c r="Y118" s="4"/>
      <c r="AJ118"/>
      <c r="AK118" s="14"/>
    </row>
    <row r="119" spans="4:37" ht="14.25" customHeight="1" x14ac:dyDescent="0.35">
      <c r="D119"/>
      <c r="H119" s="8"/>
      <c r="J119"/>
      <c r="K119"/>
      <c r="L119"/>
      <c r="Q119" s="1"/>
      <c r="Y119" s="4"/>
      <c r="AJ119"/>
      <c r="AK119" s="14"/>
    </row>
    <row r="120" spans="4:37" ht="14.25" customHeight="1" x14ac:dyDescent="0.35">
      <c r="D120"/>
      <c r="H120" s="8"/>
      <c r="J120"/>
      <c r="K120"/>
      <c r="L120"/>
      <c r="Q120" s="1"/>
      <c r="Y120" s="4"/>
      <c r="AJ120"/>
      <c r="AK120" s="14"/>
    </row>
    <row r="121" spans="4:37" ht="14.25" customHeight="1" x14ac:dyDescent="0.35">
      <c r="D121"/>
      <c r="H121" s="8"/>
      <c r="J121"/>
      <c r="K121"/>
      <c r="L121"/>
      <c r="Q121" s="1"/>
      <c r="Y121" s="4"/>
      <c r="AJ121"/>
      <c r="AK121" s="14"/>
    </row>
    <row r="122" spans="4:37" ht="14.25" customHeight="1" x14ac:dyDescent="0.35">
      <c r="D122"/>
      <c r="H122" s="8"/>
      <c r="J122"/>
      <c r="K122"/>
      <c r="L122"/>
      <c r="Q122" s="1"/>
      <c r="Y122" s="4"/>
      <c r="AJ122"/>
      <c r="AK122" s="14"/>
    </row>
    <row r="123" spans="4:37" ht="14.25" customHeight="1" x14ac:dyDescent="0.35">
      <c r="D123"/>
      <c r="H123" s="8"/>
      <c r="J123"/>
      <c r="K123"/>
      <c r="L123"/>
      <c r="Q123" s="1"/>
      <c r="Y123" s="4"/>
      <c r="AJ123"/>
      <c r="AK123" s="14"/>
    </row>
    <row r="124" spans="4:37" ht="14.25" customHeight="1" x14ac:dyDescent="0.35">
      <c r="D124"/>
      <c r="H124" s="8"/>
      <c r="J124"/>
      <c r="K124"/>
      <c r="L124"/>
      <c r="Q124" s="1"/>
      <c r="Y124" s="4"/>
      <c r="AJ124"/>
      <c r="AK124" s="14"/>
    </row>
    <row r="125" spans="4:37" ht="14.25" customHeight="1" x14ac:dyDescent="0.35">
      <c r="D125"/>
      <c r="H125" s="8"/>
      <c r="J125"/>
      <c r="K125"/>
      <c r="L125"/>
      <c r="Q125" s="1"/>
      <c r="Y125" s="4"/>
      <c r="AJ125"/>
      <c r="AK125" s="14"/>
    </row>
    <row r="126" spans="4:37" ht="14.25" customHeight="1" x14ac:dyDescent="0.35">
      <c r="D126"/>
      <c r="H126" s="8"/>
      <c r="J126"/>
      <c r="K126"/>
      <c r="L126"/>
      <c r="Q126" s="1"/>
      <c r="Y126" s="4"/>
      <c r="AJ126"/>
      <c r="AK126" s="14"/>
    </row>
    <row r="127" spans="4:37" ht="14.25" customHeight="1" x14ac:dyDescent="0.35">
      <c r="D127"/>
      <c r="H127" s="8"/>
      <c r="J127"/>
      <c r="K127"/>
      <c r="L127"/>
      <c r="Q127" s="1"/>
      <c r="Y127" s="4"/>
      <c r="AJ127"/>
      <c r="AK127" s="14"/>
    </row>
    <row r="128" spans="4:37" ht="14.25" customHeight="1" x14ac:dyDescent="0.35">
      <c r="D128"/>
      <c r="H128" s="8"/>
      <c r="J128"/>
      <c r="K128"/>
      <c r="L128"/>
      <c r="Q128" s="1"/>
      <c r="Y128" s="4"/>
      <c r="AJ128"/>
      <c r="AK128" s="14"/>
    </row>
    <row r="129" spans="4:37" ht="14.25" customHeight="1" x14ac:dyDescent="0.35">
      <c r="D129"/>
      <c r="H129" s="8"/>
      <c r="J129"/>
      <c r="K129"/>
      <c r="L129"/>
      <c r="Q129" s="1"/>
      <c r="Y129" s="4"/>
      <c r="AJ129"/>
      <c r="AK129" s="14"/>
    </row>
    <row r="130" spans="4:37" ht="14.25" customHeight="1" x14ac:dyDescent="0.35">
      <c r="D130"/>
      <c r="H130" s="8"/>
      <c r="J130"/>
      <c r="K130"/>
      <c r="L130"/>
      <c r="Q130" s="1"/>
      <c r="Y130" s="4"/>
      <c r="AJ130"/>
      <c r="AK130" s="14"/>
    </row>
    <row r="131" spans="4:37" ht="14.25" customHeight="1" x14ac:dyDescent="0.35">
      <c r="D131"/>
      <c r="H131" s="8"/>
      <c r="J131"/>
      <c r="K131"/>
      <c r="L131"/>
      <c r="Q131" s="1"/>
      <c r="Y131" s="4"/>
      <c r="AJ131"/>
      <c r="AK131" s="14"/>
    </row>
    <row r="132" spans="4:37" ht="14.25" customHeight="1" x14ac:dyDescent="0.35">
      <c r="D132"/>
      <c r="H132" s="8"/>
      <c r="J132"/>
      <c r="K132"/>
      <c r="L132"/>
      <c r="Q132" s="1"/>
      <c r="Y132" s="4"/>
      <c r="AJ132"/>
      <c r="AK132" s="14"/>
    </row>
    <row r="133" spans="4:37" ht="14.25" customHeight="1" x14ac:dyDescent="0.35">
      <c r="D133"/>
      <c r="H133" s="8"/>
      <c r="J133"/>
      <c r="K133"/>
      <c r="L133"/>
      <c r="Q133" s="1"/>
      <c r="Y133" s="4"/>
      <c r="AJ133"/>
      <c r="AK133" s="14"/>
    </row>
    <row r="134" spans="4:37" ht="14.25" customHeight="1" x14ac:dyDescent="0.35">
      <c r="D134"/>
      <c r="H134" s="8"/>
      <c r="J134"/>
      <c r="K134"/>
      <c r="L134"/>
      <c r="Q134" s="1"/>
      <c r="Y134" s="4"/>
      <c r="AJ134"/>
      <c r="AK134" s="14"/>
    </row>
    <row r="135" spans="4:37" ht="14.25" customHeight="1" x14ac:dyDescent="0.35">
      <c r="D135"/>
      <c r="H135" s="8"/>
      <c r="J135"/>
      <c r="K135"/>
      <c r="L135"/>
      <c r="Q135" s="1"/>
      <c r="Y135" s="4"/>
      <c r="AJ135"/>
      <c r="AK135" s="14"/>
    </row>
    <row r="136" spans="4:37" ht="14.25" customHeight="1" x14ac:dyDescent="0.35">
      <c r="D136"/>
      <c r="H136" s="8"/>
      <c r="J136"/>
      <c r="K136"/>
      <c r="L136"/>
      <c r="Q136" s="1"/>
      <c r="Y136" s="4"/>
      <c r="AJ136"/>
      <c r="AK136" s="14"/>
    </row>
    <row r="137" spans="4:37" ht="14.25" customHeight="1" x14ac:dyDescent="0.35">
      <c r="D137"/>
      <c r="H137" s="8"/>
      <c r="J137"/>
      <c r="K137"/>
      <c r="L137"/>
      <c r="Q137" s="1"/>
      <c r="Y137" s="4"/>
      <c r="AJ137"/>
      <c r="AK137" s="14"/>
    </row>
    <row r="138" spans="4:37" ht="14.25" customHeight="1" x14ac:dyDescent="0.35">
      <c r="D138"/>
      <c r="H138" s="8"/>
      <c r="J138"/>
      <c r="K138"/>
      <c r="L138"/>
      <c r="Q138" s="1"/>
      <c r="Y138" s="4"/>
      <c r="AJ138"/>
      <c r="AK138" s="14"/>
    </row>
    <row r="139" spans="4:37" ht="14.25" customHeight="1" x14ac:dyDescent="0.35">
      <c r="D139"/>
      <c r="H139" s="8"/>
      <c r="J139"/>
      <c r="K139"/>
      <c r="L139"/>
      <c r="Q139" s="1"/>
      <c r="Y139" s="4"/>
      <c r="AJ139"/>
      <c r="AK139" s="14"/>
    </row>
    <row r="140" spans="4:37" ht="14.25" customHeight="1" x14ac:dyDescent="0.35">
      <c r="D140"/>
      <c r="H140" s="8"/>
      <c r="J140"/>
      <c r="K140"/>
      <c r="L140"/>
      <c r="Q140" s="1"/>
      <c r="Y140" s="4"/>
      <c r="AJ140"/>
      <c r="AK140" s="14"/>
    </row>
    <row r="141" spans="4:37" ht="14.25" customHeight="1" x14ac:dyDescent="0.35">
      <c r="D141"/>
      <c r="H141" s="8"/>
      <c r="J141"/>
      <c r="K141"/>
      <c r="L141"/>
      <c r="Q141" s="1"/>
      <c r="Y141" s="4"/>
      <c r="AJ141"/>
      <c r="AK141" s="14"/>
    </row>
    <row r="142" spans="4:37" ht="14.25" customHeight="1" x14ac:dyDescent="0.35">
      <c r="D142"/>
      <c r="H142" s="8"/>
      <c r="J142"/>
      <c r="K142"/>
      <c r="L142"/>
      <c r="Q142" s="1"/>
      <c r="Y142" s="4"/>
      <c r="AJ142"/>
      <c r="AK142" s="14"/>
    </row>
    <row r="143" spans="4:37" ht="14.25" customHeight="1" x14ac:dyDescent="0.35">
      <c r="D143"/>
      <c r="H143" s="8"/>
      <c r="J143"/>
      <c r="K143"/>
      <c r="L143"/>
      <c r="Q143" s="1"/>
      <c r="Y143" s="4"/>
      <c r="AJ143"/>
      <c r="AK143" s="14"/>
    </row>
    <row r="144" spans="4:37" ht="14.25" customHeight="1" x14ac:dyDescent="0.35">
      <c r="D144"/>
      <c r="H144" s="8"/>
      <c r="J144"/>
      <c r="K144"/>
      <c r="L144"/>
      <c r="Q144" s="1"/>
      <c r="Y144" s="4"/>
      <c r="AJ144"/>
      <c r="AK144" s="14"/>
    </row>
    <row r="145" spans="4:37" ht="14.25" customHeight="1" x14ac:dyDescent="0.35">
      <c r="D145"/>
      <c r="H145" s="8"/>
      <c r="J145"/>
      <c r="K145"/>
      <c r="L145"/>
      <c r="Q145" s="1"/>
      <c r="Y145" s="4"/>
      <c r="AJ145"/>
      <c r="AK145" s="14"/>
    </row>
    <row r="146" spans="4:37" ht="14.25" customHeight="1" x14ac:dyDescent="0.35">
      <c r="D146"/>
      <c r="H146" s="8"/>
      <c r="J146"/>
      <c r="K146"/>
      <c r="L146"/>
      <c r="Q146" s="1"/>
      <c r="Y146" s="4"/>
      <c r="AJ146"/>
      <c r="AK146" s="14"/>
    </row>
    <row r="147" spans="4:37" ht="14.25" customHeight="1" x14ac:dyDescent="0.35">
      <c r="D147"/>
      <c r="H147" s="8"/>
      <c r="J147"/>
      <c r="K147"/>
      <c r="L147"/>
      <c r="Q147" s="1"/>
      <c r="Y147" s="4"/>
      <c r="AJ147"/>
      <c r="AK147" s="14"/>
    </row>
    <row r="148" spans="4:37" ht="14.25" customHeight="1" x14ac:dyDescent="0.35">
      <c r="D148"/>
      <c r="H148" s="8"/>
      <c r="J148"/>
      <c r="K148"/>
      <c r="L148"/>
      <c r="Q148" s="1"/>
      <c r="Y148" s="4"/>
      <c r="AJ148"/>
      <c r="AK148" s="14"/>
    </row>
    <row r="149" spans="4:37" ht="14.25" customHeight="1" x14ac:dyDescent="0.35">
      <c r="D149"/>
      <c r="H149" s="8"/>
      <c r="J149"/>
      <c r="K149"/>
      <c r="L149"/>
      <c r="Q149" s="1"/>
      <c r="Y149" s="4"/>
      <c r="AJ149"/>
      <c r="AK149" s="14"/>
    </row>
    <row r="150" spans="4:37" ht="14.25" customHeight="1" x14ac:dyDescent="0.35">
      <c r="D150"/>
      <c r="H150" s="8"/>
      <c r="J150"/>
      <c r="K150"/>
      <c r="L150"/>
      <c r="Q150" s="1"/>
      <c r="Y150" s="4"/>
      <c r="AJ150"/>
      <c r="AK150" s="14"/>
    </row>
    <row r="151" spans="4:37" ht="14.25" customHeight="1" x14ac:dyDescent="0.35">
      <c r="D151"/>
      <c r="H151" s="8"/>
      <c r="J151"/>
      <c r="K151"/>
      <c r="L151"/>
      <c r="Q151" s="1"/>
      <c r="Y151" s="4"/>
      <c r="AJ151"/>
      <c r="AK151" s="14"/>
    </row>
    <row r="152" spans="4:37" ht="14.25" customHeight="1" x14ac:dyDescent="0.35">
      <c r="D152"/>
      <c r="H152" s="8"/>
      <c r="J152"/>
      <c r="K152"/>
      <c r="L152"/>
      <c r="Q152" s="1"/>
      <c r="Y152" s="4"/>
      <c r="AJ152"/>
      <c r="AK152" s="14"/>
    </row>
    <row r="153" spans="4:37" ht="14.25" customHeight="1" x14ac:dyDescent="0.35">
      <c r="D153"/>
      <c r="H153" s="8"/>
      <c r="J153"/>
      <c r="K153"/>
      <c r="L153"/>
      <c r="Q153" s="1"/>
      <c r="Y153" s="4"/>
      <c r="AJ153"/>
      <c r="AK153" s="14"/>
    </row>
    <row r="154" spans="4:37" ht="14.25" customHeight="1" x14ac:dyDescent="0.35">
      <c r="D154"/>
      <c r="H154" s="8"/>
      <c r="J154"/>
      <c r="K154"/>
      <c r="L154"/>
      <c r="Q154" s="1"/>
      <c r="Y154" s="4"/>
      <c r="AJ154"/>
      <c r="AK154" s="14"/>
    </row>
    <row r="155" spans="4:37" ht="14.25" customHeight="1" x14ac:dyDescent="0.35">
      <c r="D155"/>
      <c r="H155" s="8"/>
      <c r="J155"/>
      <c r="K155"/>
      <c r="L155"/>
      <c r="Q155" s="1"/>
      <c r="Y155" s="4"/>
      <c r="AJ155"/>
      <c r="AK155" s="14"/>
    </row>
    <row r="156" spans="4:37" ht="14.25" customHeight="1" x14ac:dyDescent="0.35">
      <c r="D156"/>
      <c r="H156" s="8"/>
      <c r="J156"/>
      <c r="K156"/>
      <c r="L156"/>
      <c r="Q156" s="1"/>
      <c r="Y156" s="4"/>
      <c r="AJ156"/>
      <c r="AK156" s="14"/>
    </row>
    <row r="157" spans="4:37" ht="14.25" customHeight="1" x14ac:dyDescent="0.35">
      <c r="D157"/>
      <c r="H157" s="8"/>
      <c r="J157"/>
      <c r="K157"/>
      <c r="L157"/>
      <c r="Q157" s="1"/>
      <c r="Y157" s="4"/>
      <c r="AJ157"/>
      <c r="AK157" s="14"/>
    </row>
    <row r="158" spans="4:37" ht="14.25" customHeight="1" x14ac:dyDescent="0.35">
      <c r="D158"/>
      <c r="H158" s="8"/>
      <c r="J158"/>
      <c r="K158"/>
      <c r="L158"/>
      <c r="Q158" s="1"/>
      <c r="Y158" s="4"/>
      <c r="AJ158"/>
      <c r="AK158" s="14"/>
    </row>
    <row r="159" spans="4:37" ht="14.25" customHeight="1" x14ac:dyDescent="0.35">
      <c r="D159"/>
      <c r="H159" s="8"/>
      <c r="J159"/>
      <c r="K159"/>
      <c r="L159"/>
      <c r="Q159" s="1"/>
      <c r="Y159" s="4"/>
      <c r="AJ159"/>
      <c r="AK159" s="14"/>
    </row>
    <row r="160" spans="4:37" ht="14.25" customHeight="1" x14ac:dyDescent="0.35">
      <c r="D160"/>
      <c r="H160" s="8"/>
      <c r="J160"/>
      <c r="K160"/>
      <c r="L160"/>
      <c r="Q160" s="1"/>
      <c r="Y160" s="4"/>
      <c r="AJ160"/>
      <c r="AK160" s="14"/>
    </row>
    <row r="161" spans="4:37" ht="14.25" customHeight="1" x14ac:dyDescent="0.35">
      <c r="D161"/>
      <c r="H161" s="8"/>
      <c r="J161"/>
      <c r="K161"/>
      <c r="L161"/>
      <c r="Q161" s="1"/>
      <c r="Y161" s="4"/>
      <c r="AJ161"/>
      <c r="AK161" s="14"/>
    </row>
    <row r="162" spans="4:37" ht="14.25" customHeight="1" x14ac:dyDescent="0.35">
      <c r="D162"/>
      <c r="H162" s="8"/>
      <c r="J162"/>
      <c r="K162"/>
      <c r="L162"/>
      <c r="Q162" s="1"/>
      <c r="Y162" s="4"/>
      <c r="AJ162"/>
      <c r="AK162" s="14"/>
    </row>
    <row r="163" spans="4:37" ht="14.25" customHeight="1" x14ac:dyDescent="0.35">
      <c r="D163"/>
      <c r="H163" s="8"/>
      <c r="J163"/>
      <c r="K163"/>
      <c r="L163"/>
      <c r="Q163" s="1"/>
      <c r="Y163" s="4"/>
      <c r="AJ163"/>
      <c r="AK163" s="14"/>
    </row>
    <row r="164" spans="4:37" ht="14.25" customHeight="1" x14ac:dyDescent="0.35">
      <c r="D164"/>
      <c r="H164" s="8"/>
      <c r="J164"/>
      <c r="K164"/>
      <c r="L164"/>
      <c r="Q164" s="1"/>
      <c r="Y164" s="4"/>
      <c r="AJ164"/>
      <c r="AK164" s="14"/>
    </row>
    <row r="165" spans="4:37" ht="14.25" customHeight="1" x14ac:dyDescent="0.35">
      <c r="D165"/>
      <c r="H165" s="8"/>
      <c r="J165"/>
      <c r="K165"/>
      <c r="L165"/>
      <c r="Q165" s="1"/>
      <c r="Y165" s="4"/>
      <c r="AJ165"/>
      <c r="AK165" s="14"/>
    </row>
    <row r="166" spans="4:37" ht="14.25" customHeight="1" x14ac:dyDescent="0.35">
      <c r="D166"/>
      <c r="H166" s="8"/>
      <c r="J166"/>
      <c r="K166"/>
      <c r="L166"/>
      <c r="Q166" s="1"/>
      <c r="Y166" s="4"/>
      <c r="AJ166"/>
      <c r="AK166" s="14"/>
    </row>
    <row r="167" spans="4:37" ht="14.25" customHeight="1" x14ac:dyDescent="0.35">
      <c r="D167"/>
      <c r="H167" s="8"/>
      <c r="J167"/>
      <c r="K167"/>
      <c r="L167"/>
      <c r="Q167" s="1"/>
      <c r="Y167" s="4"/>
      <c r="AJ167"/>
      <c r="AK167" s="14"/>
    </row>
    <row r="168" spans="4:37" ht="14.25" customHeight="1" x14ac:dyDescent="0.35">
      <c r="D168"/>
      <c r="H168" s="8"/>
      <c r="J168"/>
      <c r="K168"/>
      <c r="L168"/>
      <c r="Q168" s="1"/>
      <c r="Y168" s="4"/>
      <c r="AJ168"/>
      <c r="AK168" s="14"/>
    </row>
    <row r="169" spans="4:37" ht="14.25" customHeight="1" x14ac:dyDescent="0.35">
      <c r="D169"/>
      <c r="H169" s="8"/>
      <c r="J169"/>
      <c r="K169"/>
      <c r="L169"/>
      <c r="Q169" s="1"/>
      <c r="Y169" s="4"/>
      <c r="AJ169"/>
      <c r="AK169" s="14"/>
    </row>
    <row r="170" spans="4:37" ht="14.25" customHeight="1" x14ac:dyDescent="0.35">
      <c r="D170"/>
      <c r="H170" s="8"/>
      <c r="J170"/>
      <c r="K170"/>
      <c r="L170"/>
      <c r="Q170" s="1"/>
      <c r="Y170" s="4"/>
      <c r="AJ170"/>
      <c r="AK170" s="14"/>
    </row>
    <row r="171" spans="4:37" ht="14.25" customHeight="1" x14ac:dyDescent="0.35">
      <c r="D171"/>
      <c r="H171" s="8"/>
      <c r="J171"/>
      <c r="K171"/>
      <c r="L171"/>
      <c r="Q171" s="1"/>
      <c r="Y171" s="4"/>
      <c r="AJ171"/>
      <c r="AK171" s="14"/>
    </row>
    <row r="172" spans="4:37" ht="14.25" customHeight="1" x14ac:dyDescent="0.35">
      <c r="D172"/>
      <c r="H172" s="8"/>
      <c r="J172"/>
      <c r="K172"/>
      <c r="L172"/>
      <c r="Q172" s="1"/>
      <c r="Y172" s="4"/>
      <c r="AJ172"/>
      <c r="AK172" s="14"/>
    </row>
    <row r="173" spans="4:37" ht="14.25" customHeight="1" x14ac:dyDescent="0.35">
      <c r="D173"/>
      <c r="H173" s="8"/>
      <c r="J173"/>
      <c r="K173"/>
      <c r="L173"/>
      <c r="Q173" s="1"/>
      <c r="Y173" s="4"/>
      <c r="AJ173"/>
      <c r="AK173" s="14"/>
    </row>
    <row r="174" spans="4:37" ht="14.25" customHeight="1" x14ac:dyDescent="0.35">
      <c r="D174"/>
      <c r="H174" s="8"/>
      <c r="J174"/>
      <c r="K174"/>
      <c r="L174"/>
      <c r="Q174" s="1"/>
      <c r="Y174" s="4"/>
      <c r="AJ174"/>
      <c r="AK174" s="14"/>
    </row>
    <row r="175" spans="4:37" ht="14.25" customHeight="1" x14ac:dyDescent="0.35">
      <c r="D175"/>
      <c r="H175" s="8"/>
      <c r="J175"/>
      <c r="K175"/>
      <c r="L175"/>
      <c r="Q175" s="1"/>
      <c r="Y175" s="4"/>
      <c r="AJ175"/>
      <c r="AK175" s="14"/>
    </row>
    <row r="176" spans="4:37" ht="14.25" customHeight="1" x14ac:dyDescent="0.35">
      <c r="D176"/>
      <c r="H176" s="8"/>
      <c r="J176"/>
      <c r="K176"/>
      <c r="L176"/>
      <c r="Q176" s="1"/>
      <c r="Y176" s="4"/>
      <c r="AJ176"/>
      <c r="AK176" s="14"/>
    </row>
    <row r="177" spans="4:37" ht="14.25" customHeight="1" x14ac:dyDescent="0.35">
      <c r="D177"/>
      <c r="H177" s="8"/>
      <c r="J177"/>
      <c r="K177"/>
      <c r="L177"/>
      <c r="Q177" s="1"/>
      <c r="Y177" s="4"/>
      <c r="AJ177"/>
      <c r="AK177" s="14"/>
    </row>
    <row r="178" spans="4:37" ht="14.25" customHeight="1" x14ac:dyDescent="0.35">
      <c r="D178"/>
      <c r="H178" s="8"/>
      <c r="J178"/>
      <c r="K178"/>
      <c r="L178"/>
      <c r="Q178" s="1"/>
      <c r="Y178" s="4"/>
      <c r="AJ178"/>
      <c r="AK178" s="14"/>
    </row>
    <row r="179" spans="4:37" ht="14.25" customHeight="1" x14ac:dyDescent="0.35">
      <c r="D179"/>
      <c r="H179" s="8"/>
      <c r="J179"/>
      <c r="K179"/>
      <c r="L179"/>
      <c r="Q179" s="1"/>
      <c r="Y179" s="4"/>
      <c r="AJ179"/>
      <c r="AK179" s="14"/>
    </row>
    <row r="180" spans="4:37" ht="14.25" customHeight="1" x14ac:dyDescent="0.35">
      <c r="D180"/>
      <c r="H180" s="8"/>
      <c r="J180"/>
      <c r="K180"/>
      <c r="L180"/>
      <c r="Q180" s="1"/>
      <c r="Y180" s="4"/>
      <c r="AJ180"/>
      <c r="AK180" s="14"/>
    </row>
    <row r="181" spans="4:37" ht="14.25" customHeight="1" x14ac:dyDescent="0.35">
      <c r="D181"/>
      <c r="H181" s="8"/>
      <c r="J181"/>
      <c r="K181"/>
      <c r="L181"/>
      <c r="Q181" s="1"/>
      <c r="Y181" s="4"/>
      <c r="AJ181"/>
      <c r="AK181" s="14"/>
    </row>
    <row r="182" spans="4:37" ht="14.25" customHeight="1" x14ac:dyDescent="0.35">
      <c r="D182"/>
      <c r="H182" s="8"/>
      <c r="J182"/>
      <c r="K182"/>
      <c r="L182"/>
      <c r="Q182" s="1"/>
      <c r="Y182" s="4"/>
      <c r="AJ182"/>
      <c r="AK182" s="14"/>
    </row>
    <row r="183" spans="4:37" ht="14.25" customHeight="1" x14ac:dyDescent="0.35">
      <c r="D183"/>
      <c r="H183" s="8"/>
      <c r="J183"/>
      <c r="K183"/>
      <c r="L183"/>
      <c r="Q183" s="1"/>
      <c r="Y183" s="4"/>
      <c r="AJ183"/>
      <c r="AK183" s="14"/>
    </row>
    <row r="184" spans="4:37" ht="14.25" customHeight="1" x14ac:dyDescent="0.35">
      <c r="D184"/>
      <c r="H184" s="8"/>
      <c r="J184"/>
      <c r="K184"/>
      <c r="L184"/>
      <c r="Q184" s="1"/>
      <c r="Y184" s="4"/>
      <c r="AJ184"/>
      <c r="AK184" s="14"/>
    </row>
    <row r="185" spans="4:37" ht="14.25" customHeight="1" x14ac:dyDescent="0.35">
      <c r="D185"/>
      <c r="H185" s="8"/>
      <c r="J185"/>
      <c r="K185"/>
      <c r="L185"/>
      <c r="Q185" s="1"/>
      <c r="Y185" s="4"/>
      <c r="AJ185"/>
      <c r="AK185" s="14"/>
    </row>
    <row r="186" spans="4:37" ht="14.25" customHeight="1" x14ac:dyDescent="0.35">
      <c r="D186"/>
      <c r="H186" s="8"/>
      <c r="J186"/>
      <c r="K186"/>
      <c r="L186"/>
      <c r="Q186" s="1"/>
      <c r="Y186" s="4"/>
      <c r="AJ186"/>
      <c r="AK186" s="14"/>
    </row>
    <row r="187" spans="4:37" ht="14.25" customHeight="1" x14ac:dyDescent="0.35">
      <c r="D187"/>
      <c r="H187" s="8"/>
      <c r="J187"/>
      <c r="K187"/>
      <c r="L187"/>
      <c r="Q187" s="1"/>
      <c r="Y187" s="4"/>
      <c r="AJ187"/>
      <c r="AK187" s="14"/>
    </row>
    <row r="188" spans="4:37" ht="14.25" customHeight="1" x14ac:dyDescent="0.35">
      <c r="D188"/>
      <c r="H188" s="8"/>
      <c r="J188"/>
      <c r="K188"/>
      <c r="L188"/>
      <c r="Q188" s="1"/>
      <c r="Y188" s="4"/>
      <c r="AJ188"/>
      <c r="AK188" s="14"/>
    </row>
    <row r="189" spans="4:37" ht="14.25" customHeight="1" x14ac:dyDescent="0.35">
      <c r="D189"/>
      <c r="H189" s="8"/>
      <c r="J189"/>
      <c r="K189"/>
      <c r="L189"/>
      <c r="Q189" s="1"/>
      <c r="Y189" s="4"/>
      <c r="AJ189"/>
      <c r="AK189" s="14"/>
    </row>
    <row r="190" spans="4:37" ht="14.25" customHeight="1" x14ac:dyDescent="0.35">
      <c r="D190"/>
      <c r="H190" s="8"/>
      <c r="J190"/>
      <c r="K190"/>
      <c r="L190"/>
      <c r="Q190" s="1"/>
      <c r="Y190" s="4"/>
      <c r="AJ190"/>
      <c r="AK190" s="14"/>
    </row>
    <row r="191" spans="4:37" ht="14.25" customHeight="1" x14ac:dyDescent="0.35">
      <c r="D191"/>
      <c r="H191" s="8"/>
      <c r="J191"/>
      <c r="K191"/>
      <c r="L191"/>
      <c r="Q191" s="1"/>
      <c r="Y191" s="4"/>
      <c r="AJ191"/>
      <c r="AK191" s="14"/>
    </row>
    <row r="192" spans="4:37" ht="14.25" customHeight="1" x14ac:dyDescent="0.35">
      <c r="D192"/>
      <c r="H192" s="8"/>
      <c r="J192"/>
      <c r="K192"/>
      <c r="L192"/>
      <c r="Q192" s="1"/>
      <c r="Y192" s="4"/>
      <c r="AJ192"/>
      <c r="AK192" s="14"/>
    </row>
    <row r="193" spans="4:37" ht="14.25" customHeight="1" x14ac:dyDescent="0.35">
      <c r="D193"/>
      <c r="H193" s="8"/>
      <c r="J193"/>
      <c r="K193"/>
      <c r="L193"/>
      <c r="Q193" s="1"/>
      <c r="Y193" s="4"/>
      <c r="AJ193"/>
      <c r="AK193" s="14"/>
    </row>
    <row r="194" spans="4:37" ht="14.25" customHeight="1" x14ac:dyDescent="0.35">
      <c r="D194"/>
      <c r="H194" s="8"/>
      <c r="J194"/>
      <c r="K194"/>
      <c r="L194"/>
      <c r="Q194" s="1"/>
      <c r="Y194" s="4"/>
      <c r="AJ194"/>
      <c r="AK194" s="14"/>
    </row>
    <row r="195" spans="4:37" ht="14.25" customHeight="1" x14ac:dyDescent="0.35">
      <c r="D195"/>
      <c r="H195" s="8"/>
      <c r="J195"/>
      <c r="K195"/>
      <c r="L195"/>
      <c r="Q195" s="1"/>
      <c r="Y195" s="4"/>
      <c r="AJ195"/>
      <c r="AK195" s="14"/>
    </row>
    <row r="196" spans="4:37" ht="14.25" customHeight="1" x14ac:dyDescent="0.35">
      <c r="D196"/>
      <c r="H196" s="8"/>
      <c r="J196"/>
      <c r="K196"/>
      <c r="L196"/>
      <c r="Q196" s="1"/>
      <c r="Y196" s="4"/>
      <c r="AJ196"/>
      <c r="AK196" s="14"/>
    </row>
    <row r="197" spans="4:37" ht="14.25" customHeight="1" x14ac:dyDescent="0.35">
      <c r="D197"/>
      <c r="H197" s="8"/>
      <c r="J197"/>
      <c r="K197"/>
      <c r="L197"/>
      <c r="Q197" s="1"/>
      <c r="Y197" s="4"/>
      <c r="AJ197"/>
      <c r="AK197" s="14"/>
    </row>
    <row r="198" spans="4:37" ht="14.25" customHeight="1" x14ac:dyDescent="0.35">
      <c r="D198"/>
      <c r="H198" s="8"/>
      <c r="J198"/>
      <c r="K198"/>
      <c r="L198"/>
      <c r="Q198" s="1"/>
      <c r="Y198" s="4"/>
      <c r="AJ198"/>
      <c r="AK198" s="14"/>
    </row>
    <row r="199" spans="4:37" ht="14.25" customHeight="1" x14ac:dyDescent="0.35">
      <c r="D199"/>
      <c r="H199" s="8"/>
      <c r="J199"/>
      <c r="K199"/>
      <c r="L199"/>
      <c r="Q199" s="1"/>
      <c r="Y199" s="4"/>
      <c r="AJ199"/>
      <c r="AK199" s="14"/>
    </row>
    <row r="200" spans="4:37" ht="14.25" customHeight="1" x14ac:dyDescent="0.35">
      <c r="D200"/>
      <c r="H200" s="8"/>
      <c r="J200"/>
      <c r="K200"/>
      <c r="L200"/>
      <c r="Q200" s="1"/>
      <c r="Y200" s="4"/>
      <c r="AJ200"/>
      <c r="AK200" s="14"/>
    </row>
    <row r="201" spans="4:37" ht="14.25" customHeight="1" x14ac:dyDescent="0.35">
      <c r="D201"/>
      <c r="H201" s="8"/>
      <c r="J201"/>
      <c r="K201"/>
      <c r="L201"/>
      <c r="Q201" s="1"/>
      <c r="Y201" s="4"/>
      <c r="AJ201"/>
      <c r="AK201" s="14"/>
    </row>
    <row r="202" spans="4:37" ht="14.25" customHeight="1" x14ac:dyDescent="0.35">
      <c r="D202"/>
      <c r="H202" s="8"/>
      <c r="J202"/>
      <c r="K202"/>
      <c r="L202"/>
      <c r="Q202" s="1"/>
      <c r="Y202" s="4"/>
      <c r="AJ202"/>
      <c r="AK202" s="14"/>
    </row>
    <row r="203" spans="4:37" ht="14.25" customHeight="1" x14ac:dyDescent="0.35">
      <c r="D203"/>
      <c r="H203" s="8"/>
      <c r="J203"/>
      <c r="K203"/>
      <c r="L203"/>
      <c r="Q203" s="1"/>
      <c r="Y203" s="4"/>
      <c r="AJ203"/>
      <c r="AK203" s="14"/>
    </row>
    <row r="204" spans="4:37" ht="14.25" customHeight="1" x14ac:dyDescent="0.35">
      <c r="D204"/>
      <c r="H204" s="8"/>
      <c r="J204"/>
      <c r="K204"/>
      <c r="L204"/>
      <c r="Q204" s="1"/>
      <c r="Y204" s="4"/>
      <c r="AJ204"/>
      <c r="AK204" s="14"/>
    </row>
    <row r="205" spans="4:37" ht="14.25" customHeight="1" x14ac:dyDescent="0.35">
      <c r="D205"/>
      <c r="H205" s="8"/>
      <c r="J205"/>
      <c r="K205"/>
      <c r="L205"/>
      <c r="Q205" s="1"/>
      <c r="Y205" s="4"/>
      <c r="AJ205"/>
      <c r="AK205" s="14"/>
    </row>
    <row r="206" spans="4:37" ht="14.25" customHeight="1" x14ac:dyDescent="0.35">
      <c r="D206"/>
      <c r="H206" s="8"/>
      <c r="J206"/>
      <c r="K206"/>
      <c r="L206"/>
      <c r="Q206" s="1"/>
      <c r="Y206" s="4"/>
      <c r="AJ206"/>
      <c r="AK206" s="14"/>
    </row>
    <row r="207" spans="4:37" ht="14.25" customHeight="1" x14ac:dyDescent="0.35">
      <c r="D207"/>
      <c r="H207" s="8"/>
      <c r="J207"/>
      <c r="K207"/>
      <c r="L207"/>
      <c r="Q207" s="1"/>
      <c r="Y207" s="4"/>
      <c r="AJ207"/>
      <c r="AK207" s="14"/>
    </row>
    <row r="208" spans="4:37" ht="14.25" customHeight="1" x14ac:dyDescent="0.35">
      <c r="D208"/>
      <c r="H208" s="8"/>
      <c r="J208"/>
      <c r="K208"/>
      <c r="L208"/>
      <c r="Q208" s="1"/>
      <c r="Y208" s="4"/>
      <c r="AJ208"/>
      <c r="AK208" s="14"/>
    </row>
    <row r="209" spans="4:37" ht="14.25" customHeight="1" x14ac:dyDescent="0.35">
      <c r="D209"/>
      <c r="H209" s="8"/>
      <c r="J209"/>
      <c r="K209"/>
      <c r="L209"/>
      <c r="Q209" s="1"/>
      <c r="Y209" s="4"/>
      <c r="AJ209"/>
      <c r="AK209" s="14"/>
    </row>
    <row r="210" spans="4:37" ht="14.25" customHeight="1" x14ac:dyDescent="0.35">
      <c r="D210"/>
      <c r="H210" s="8"/>
      <c r="J210"/>
      <c r="K210"/>
      <c r="L210"/>
      <c r="Q210" s="1"/>
      <c r="Y210" s="4"/>
      <c r="AJ210"/>
      <c r="AK210" s="14"/>
    </row>
    <row r="211" spans="4:37" ht="14.25" customHeight="1" x14ac:dyDescent="0.35">
      <c r="D211"/>
      <c r="H211" s="8"/>
      <c r="J211"/>
      <c r="K211"/>
      <c r="L211"/>
      <c r="Q211" s="1"/>
      <c r="Y211" s="4"/>
      <c r="AJ211"/>
      <c r="AK211" s="14"/>
    </row>
    <row r="212" spans="4:37" ht="14.25" customHeight="1" x14ac:dyDescent="0.35">
      <c r="D212"/>
      <c r="H212" s="8"/>
      <c r="J212"/>
      <c r="K212"/>
      <c r="L212"/>
      <c r="Q212" s="1"/>
      <c r="Y212" s="4"/>
      <c r="AJ212"/>
      <c r="AK212" s="14"/>
    </row>
    <row r="213" spans="4:37" ht="14.25" customHeight="1" x14ac:dyDescent="0.35">
      <c r="D213"/>
      <c r="H213" s="8"/>
      <c r="J213"/>
      <c r="K213"/>
      <c r="L213"/>
      <c r="Q213" s="1"/>
      <c r="Y213" s="4"/>
      <c r="AJ213"/>
      <c r="AK213" s="14"/>
    </row>
    <row r="214" spans="4:37" ht="14.25" customHeight="1" x14ac:dyDescent="0.35">
      <c r="D214"/>
      <c r="H214" s="8"/>
      <c r="J214"/>
      <c r="K214"/>
      <c r="L214"/>
      <c r="Q214" s="1"/>
      <c r="Y214" s="4"/>
      <c r="AJ214"/>
      <c r="AK214" s="14"/>
    </row>
    <row r="215" spans="4:37" ht="14.25" customHeight="1" x14ac:dyDescent="0.35">
      <c r="D215"/>
      <c r="H215" s="8"/>
      <c r="J215"/>
      <c r="K215"/>
      <c r="L215"/>
      <c r="Q215" s="1"/>
      <c r="Y215" s="4"/>
      <c r="AJ215"/>
      <c r="AK215" s="14"/>
    </row>
    <row r="216" spans="4:37" ht="14.25" customHeight="1" x14ac:dyDescent="0.35">
      <c r="D216"/>
      <c r="H216" s="8"/>
      <c r="J216"/>
      <c r="K216"/>
      <c r="L216"/>
      <c r="Q216" s="1"/>
      <c r="Y216" s="4"/>
      <c r="AJ216"/>
      <c r="AK216" s="14"/>
    </row>
    <row r="217" spans="4:37" ht="14.25" customHeight="1" x14ac:dyDescent="0.35">
      <c r="D217"/>
      <c r="H217" s="8"/>
      <c r="J217"/>
      <c r="K217"/>
      <c r="L217"/>
      <c r="Q217" s="1"/>
      <c r="Y217" s="4"/>
      <c r="AJ217"/>
      <c r="AK217" s="14"/>
    </row>
    <row r="218" spans="4:37" ht="14.25" customHeight="1" x14ac:dyDescent="0.35">
      <c r="D218"/>
      <c r="H218" s="8"/>
      <c r="J218"/>
      <c r="K218"/>
      <c r="L218"/>
      <c r="Q218" s="1"/>
      <c r="Y218" s="4"/>
      <c r="AJ218"/>
      <c r="AK218" s="14"/>
    </row>
    <row r="219" spans="4:37" ht="14.25" customHeight="1" x14ac:dyDescent="0.35">
      <c r="D219"/>
      <c r="H219" s="8"/>
      <c r="J219"/>
      <c r="K219"/>
      <c r="L219"/>
      <c r="Q219" s="1"/>
      <c r="Y219" s="4"/>
      <c r="AJ219"/>
      <c r="AK219" s="14"/>
    </row>
    <row r="220" spans="4:37" ht="14.25" customHeight="1" x14ac:dyDescent="0.35">
      <c r="D220"/>
      <c r="H220" s="8"/>
      <c r="J220"/>
      <c r="K220"/>
      <c r="L220"/>
      <c r="Q220" s="1"/>
      <c r="Y220" s="4"/>
      <c r="AJ220"/>
      <c r="AK220" s="14"/>
    </row>
    <row r="221" spans="4:37" ht="14.25" customHeight="1" x14ac:dyDescent="0.35">
      <c r="D221"/>
      <c r="H221" s="8"/>
      <c r="J221"/>
      <c r="K221"/>
      <c r="L221"/>
      <c r="Q221" s="1"/>
      <c r="Y221" s="4"/>
      <c r="AJ221"/>
      <c r="AK221" s="14"/>
    </row>
    <row r="222" spans="4:37" ht="14.25" customHeight="1" x14ac:dyDescent="0.35">
      <c r="D222"/>
      <c r="H222" s="8"/>
      <c r="J222"/>
      <c r="K222"/>
      <c r="L222"/>
      <c r="Q222" s="1"/>
      <c r="Y222" s="4"/>
      <c r="AJ222"/>
      <c r="AK222" s="14"/>
    </row>
    <row r="223" spans="4:37" ht="14.25" customHeight="1" x14ac:dyDescent="0.35">
      <c r="D223"/>
      <c r="H223" s="8"/>
      <c r="J223"/>
      <c r="K223"/>
      <c r="L223"/>
      <c r="Q223" s="1"/>
      <c r="Y223" s="4"/>
      <c r="AJ223"/>
      <c r="AK223" s="14"/>
    </row>
    <row r="224" spans="4:37" ht="14.25" customHeight="1" x14ac:dyDescent="0.35">
      <c r="D224"/>
      <c r="H224" s="8"/>
      <c r="J224"/>
      <c r="K224"/>
      <c r="L224"/>
      <c r="Q224" s="1"/>
      <c r="Y224" s="4"/>
      <c r="AJ224"/>
      <c r="AK224" s="14"/>
    </row>
    <row r="225" spans="4:37" ht="14.25" customHeight="1" x14ac:dyDescent="0.35">
      <c r="D225"/>
      <c r="H225" s="8"/>
      <c r="J225"/>
      <c r="K225"/>
      <c r="L225"/>
      <c r="Q225" s="1"/>
      <c r="Y225" s="4"/>
      <c r="AJ225"/>
      <c r="AK225" s="14"/>
    </row>
    <row r="226" spans="4:37" ht="14.25" customHeight="1" x14ac:dyDescent="0.35">
      <c r="D226"/>
      <c r="H226" s="8"/>
      <c r="J226"/>
      <c r="K226"/>
      <c r="L226"/>
      <c r="Q226" s="1"/>
      <c r="Y226" s="4"/>
      <c r="AJ226"/>
      <c r="AK226" s="14"/>
    </row>
    <row r="227" spans="4:37" ht="14.25" customHeight="1" x14ac:dyDescent="0.35">
      <c r="D227"/>
      <c r="H227" s="8"/>
      <c r="J227"/>
      <c r="K227"/>
      <c r="L227"/>
      <c r="Q227" s="1"/>
      <c r="Y227" s="4"/>
      <c r="AJ227"/>
      <c r="AK227" s="14"/>
    </row>
    <row r="228" spans="4:37" ht="14.25" customHeight="1" x14ac:dyDescent="0.35">
      <c r="D228"/>
      <c r="H228" s="8"/>
      <c r="J228"/>
      <c r="K228"/>
      <c r="L228"/>
      <c r="Q228" s="1"/>
      <c r="Y228" s="4"/>
      <c r="AJ228"/>
      <c r="AK228" s="14"/>
    </row>
    <row r="229" spans="4:37" ht="14.25" customHeight="1" x14ac:dyDescent="0.35">
      <c r="D229"/>
      <c r="H229" s="8"/>
      <c r="J229"/>
      <c r="K229"/>
      <c r="L229"/>
      <c r="Q229" s="1"/>
      <c r="Y229" s="4"/>
      <c r="AJ229"/>
      <c r="AK229" s="14"/>
    </row>
    <row r="230" spans="4:37" ht="14.25" customHeight="1" x14ac:dyDescent="0.35">
      <c r="D230"/>
      <c r="H230" s="8"/>
      <c r="J230"/>
      <c r="K230"/>
      <c r="L230"/>
      <c r="Q230" s="1"/>
      <c r="Y230" s="4"/>
      <c r="AJ230"/>
      <c r="AK230" s="14"/>
    </row>
    <row r="231" spans="4:37" ht="14.25" customHeight="1" x14ac:dyDescent="0.35">
      <c r="D231"/>
      <c r="H231" s="8"/>
      <c r="J231"/>
      <c r="K231"/>
      <c r="L231"/>
      <c r="Q231" s="1"/>
      <c r="Y231" s="4"/>
      <c r="AJ231"/>
      <c r="AK231" s="14"/>
    </row>
    <row r="232" spans="4:37" ht="14.25" customHeight="1" x14ac:dyDescent="0.35">
      <c r="D232"/>
      <c r="H232" s="8"/>
      <c r="J232"/>
      <c r="K232"/>
      <c r="L232"/>
      <c r="Q232" s="1"/>
      <c r="Y232" s="4"/>
      <c r="AJ232"/>
      <c r="AK232" s="14"/>
    </row>
    <row r="233" spans="4:37" ht="14.25" customHeight="1" x14ac:dyDescent="0.35">
      <c r="D233"/>
      <c r="H233" s="8"/>
      <c r="J233"/>
      <c r="K233"/>
      <c r="L233"/>
      <c r="Q233" s="1"/>
      <c r="Y233" s="4"/>
      <c r="AJ233"/>
      <c r="AK233" s="14"/>
    </row>
    <row r="234" spans="4:37" ht="14.25" customHeight="1" x14ac:dyDescent="0.35">
      <c r="D234"/>
      <c r="H234" s="8"/>
      <c r="J234"/>
      <c r="K234"/>
      <c r="L234"/>
      <c r="Q234" s="1"/>
      <c r="Y234" s="4"/>
      <c r="AJ234"/>
      <c r="AK234" s="14"/>
    </row>
    <row r="235" spans="4:37" ht="14.25" customHeight="1" x14ac:dyDescent="0.35">
      <c r="D235"/>
      <c r="H235" s="8"/>
      <c r="J235"/>
      <c r="K235"/>
      <c r="L235"/>
      <c r="Q235" s="1"/>
      <c r="Y235" s="4"/>
      <c r="AJ235"/>
      <c r="AK235" s="14"/>
    </row>
    <row r="236" spans="4:37" ht="14.25" customHeight="1" x14ac:dyDescent="0.35">
      <c r="D236"/>
      <c r="H236" s="8"/>
      <c r="J236"/>
      <c r="K236"/>
      <c r="L236"/>
      <c r="Q236" s="1"/>
      <c r="Y236" s="4"/>
      <c r="AJ236"/>
      <c r="AK236" s="14"/>
    </row>
    <row r="237" spans="4:37" ht="14.25" customHeight="1" x14ac:dyDescent="0.35">
      <c r="D237"/>
      <c r="H237" s="8"/>
      <c r="J237"/>
      <c r="K237"/>
      <c r="L237"/>
      <c r="Q237" s="1"/>
      <c r="Y237" s="4"/>
      <c r="AJ237"/>
      <c r="AK237" s="14"/>
    </row>
    <row r="238" spans="4:37" ht="14.25" customHeight="1" x14ac:dyDescent="0.35">
      <c r="D238"/>
      <c r="H238" s="8"/>
      <c r="J238"/>
      <c r="K238"/>
      <c r="L238"/>
      <c r="Q238" s="1"/>
      <c r="Y238" s="4"/>
      <c r="AJ238"/>
      <c r="AK238" s="14"/>
    </row>
    <row r="239" spans="4:37" ht="14.25" customHeight="1" x14ac:dyDescent="0.35">
      <c r="D239"/>
      <c r="H239" s="8"/>
      <c r="J239"/>
      <c r="K239"/>
      <c r="L239"/>
      <c r="Q239" s="1"/>
      <c r="Y239" s="4"/>
      <c r="AJ239"/>
      <c r="AK239" s="14"/>
    </row>
    <row r="240" spans="4:37" ht="14.25" customHeight="1" x14ac:dyDescent="0.35">
      <c r="D240"/>
      <c r="H240" s="8"/>
      <c r="J240"/>
      <c r="K240"/>
      <c r="L240"/>
      <c r="Q240" s="1"/>
      <c r="Y240" s="4"/>
      <c r="AJ240"/>
      <c r="AK240" s="14"/>
    </row>
    <row r="241" spans="4:37" ht="14.25" customHeight="1" x14ac:dyDescent="0.35">
      <c r="D241"/>
      <c r="H241" s="8"/>
      <c r="J241"/>
      <c r="K241"/>
      <c r="L241"/>
      <c r="Q241" s="1"/>
      <c r="Y241" s="4"/>
      <c r="AJ241"/>
      <c r="AK241" s="14"/>
    </row>
    <row r="242" spans="4:37" ht="14.25" customHeight="1" x14ac:dyDescent="0.35">
      <c r="D242"/>
      <c r="H242" s="8"/>
      <c r="J242"/>
      <c r="K242"/>
      <c r="L242"/>
      <c r="Q242" s="1"/>
      <c r="Y242" s="4"/>
      <c r="AJ242"/>
      <c r="AK242" s="14"/>
    </row>
    <row r="243" spans="4:37" ht="14.25" customHeight="1" x14ac:dyDescent="0.35">
      <c r="D243"/>
      <c r="H243" s="8"/>
      <c r="J243"/>
      <c r="K243"/>
      <c r="L243"/>
      <c r="Q243" s="1"/>
      <c r="Y243" s="4"/>
      <c r="AJ243"/>
      <c r="AK243" s="14"/>
    </row>
    <row r="244" spans="4:37" ht="14.25" customHeight="1" x14ac:dyDescent="0.35">
      <c r="D244"/>
      <c r="H244" s="8"/>
      <c r="J244"/>
      <c r="K244"/>
      <c r="L244"/>
      <c r="Q244" s="1"/>
      <c r="Y244" s="4"/>
      <c r="AJ244"/>
      <c r="AK244" s="14"/>
    </row>
    <row r="245" spans="4:37" ht="14.25" customHeight="1" x14ac:dyDescent="0.35">
      <c r="D245"/>
      <c r="H245" s="8"/>
      <c r="J245"/>
      <c r="K245"/>
      <c r="L245"/>
      <c r="Q245" s="1"/>
      <c r="Y245" s="4"/>
      <c r="AJ245"/>
      <c r="AK245" s="14"/>
    </row>
    <row r="246" spans="4:37" ht="14.25" customHeight="1" x14ac:dyDescent="0.35">
      <c r="D246"/>
      <c r="H246" s="8"/>
      <c r="J246"/>
      <c r="K246"/>
      <c r="L246"/>
      <c r="Q246" s="1"/>
      <c r="Y246" s="4"/>
      <c r="AJ246"/>
      <c r="AK246" s="14"/>
    </row>
    <row r="247" spans="4:37" ht="14.25" customHeight="1" x14ac:dyDescent="0.35">
      <c r="D247"/>
      <c r="H247" s="8"/>
      <c r="J247"/>
      <c r="K247"/>
      <c r="L247"/>
      <c r="Q247" s="1"/>
      <c r="Y247" s="4"/>
      <c r="AJ247"/>
      <c r="AK247" s="14"/>
    </row>
    <row r="248" spans="4:37" ht="14.25" customHeight="1" x14ac:dyDescent="0.35">
      <c r="D248"/>
      <c r="H248" s="8"/>
      <c r="J248"/>
      <c r="K248"/>
      <c r="L248"/>
      <c r="Q248" s="1"/>
      <c r="Y248" s="4"/>
      <c r="AJ248"/>
      <c r="AK248" s="14"/>
    </row>
    <row r="249" spans="4:37" ht="14.25" customHeight="1" x14ac:dyDescent="0.35">
      <c r="D249"/>
      <c r="H249" s="8"/>
      <c r="J249"/>
      <c r="K249"/>
      <c r="L249"/>
      <c r="Q249" s="1"/>
      <c r="Y249" s="4"/>
      <c r="AJ249"/>
      <c r="AK249" s="14"/>
    </row>
    <row r="250" spans="4:37" ht="14.25" customHeight="1" x14ac:dyDescent="0.35">
      <c r="D250"/>
      <c r="H250" s="8"/>
      <c r="J250"/>
      <c r="K250"/>
      <c r="L250"/>
      <c r="Q250" s="1"/>
      <c r="Y250" s="4"/>
      <c r="AJ250"/>
      <c r="AK250" s="14"/>
    </row>
    <row r="251" spans="4:37" ht="14.25" customHeight="1" x14ac:dyDescent="0.35">
      <c r="D251"/>
      <c r="H251" s="8"/>
      <c r="J251"/>
      <c r="K251"/>
      <c r="L251"/>
      <c r="Q251" s="1"/>
      <c r="Y251" s="4"/>
      <c r="AJ251"/>
      <c r="AK251" s="14"/>
    </row>
    <row r="252" spans="4:37" ht="14.25" customHeight="1" x14ac:dyDescent="0.35">
      <c r="D252"/>
      <c r="H252" s="8"/>
      <c r="J252"/>
      <c r="K252"/>
      <c r="L252"/>
      <c r="Q252" s="1"/>
      <c r="Y252" s="4"/>
      <c r="AJ252"/>
      <c r="AK252" s="14"/>
    </row>
    <row r="253" spans="4:37" ht="14.25" customHeight="1" x14ac:dyDescent="0.35">
      <c r="D253"/>
      <c r="H253" s="8"/>
      <c r="J253"/>
      <c r="K253"/>
      <c r="L253"/>
      <c r="Q253" s="1"/>
      <c r="Y253" s="4"/>
      <c r="AJ253"/>
      <c r="AK253" s="14"/>
    </row>
    <row r="254" spans="4:37" ht="14.25" customHeight="1" x14ac:dyDescent="0.35">
      <c r="D254"/>
      <c r="H254" s="8"/>
      <c r="J254"/>
      <c r="K254"/>
      <c r="L254"/>
      <c r="Q254" s="1"/>
      <c r="Y254" s="4"/>
      <c r="AJ254"/>
      <c r="AK254" s="14"/>
    </row>
    <row r="255" spans="4:37" ht="14.25" customHeight="1" x14ac:dyDescent="0.35">
      <c r="D255"/>
      <c r="H255" s="8"/>
      <c r="J255"/>
      <c r="K255"/>
      <c r="L255"/>
      <c r="Q255" s="1"/>
      <c r="Y255" s="4"/>
      <c r="AJ255"/>
      <c r="AK255" s="14"/>
    </row>
    <row r="256" spans="4:37" ht="14.25" customHeight="1" x14ac:dyDescent="0.35">
      <c r="D256"/>
      <c r="H256" s="8"/>
      <c r="J256"/>
      <c r="K256"/>
      <c r="L256"/>
      <c r="Q256" s="1"/>
      <c r="Y256" s="4"/>
      <c r="AJ256"/>
      <c r="AK256" s="14"/>
    </row>
    <row r="257" spans="4:37" ht="14.25" customHeight="1" x14ac:dyDescent="0.35">
      <c r="D257"/>
      <c r="H257" s="8"/>
      <c r="J257"/>
      <c r="K257"/>
      <c r="L257"/>
      <c r="Q257" s="1"/>
      <c r="Y257" s="4"/>
      <c r="AJ257"/>
      <c r="AK257" s="14"/>
    </row>
    <row r="258" spans="4:37" ht="14.25" customHeight="1" x14ac:dyDescent="0.35">
      <c r="D258"/>
      <c r="H258" s="8"/>
      <c r="J258"/>
      <c r="K258"/>
      <c r="L258"/>
      <c r="Q258" s="1"/>
      <c r="Y258" s="4"/>
      <c r="AJ258"/>
      <c r="AK258" s="14"/>
    </row>
    <row r="259" spans="4:37" ht="14.25" customHeight="1" x14ac:dyDescent="0.35">
      <c r="D259"/>
      <c r="H259" s="8"/>
      <c r="J259"/>
      <c r="K259"/>
      <c r="L259"/>
      <c r="Q259" s="1"/>
      <c r="Y259" s="4"/>
      <c r="AJ259"/>
      <c r="AK259" s="14"/>
    </row>
    <row r="260" spans="4:37" ht="14.25" customHeight="1" x14ac:dyDescent="0.35">
      <c r="D260"/>
      <c r="H260" s="8"/>
      <c r="J260"/>
      <c r="K260"/>
      <c r="L260"/>
      <c r="Q260" s="1"/>
      <c r="Y260" s="4"/>
      <c r="AJ260"/>
      <c r="AK260" s="14"/>
    </row>
    <row r="261" spans="4:37" ht="14.25" customHeight="1" x14ac:dyDescent="0.35">
      <c r="D261"/>
      <c r="H261" s="8"/>
      <c r="J261"/>
      <c r="K261"/>
      <c r="L261"/>
      <c r="Q261" s="1"/>
      <c r="Y261" s="4"/>
      <c r="AJ261"/>
      <c r="AK261" s="14"/>
    </row>
    <row r="262" spans="4:37" ht="14.25" customHeight="1" x14ac:dyDescent="0.35">
      <c r="D262"/>
      <c r="H262" s="8"/>
      <c r="J262"/>
      <c r="K262"/>
      <c r="L262"/>
      <c r="Q262" s="1"/>
      <c r="Y262" s="4"/>
      <c r="AJ262"/>
      <c r="AK262" s="14"/>
    </row>
    <row r="263" spans="4:37" ht="14.25" customHeight="1" x14ac:dyDescent="0.35">
      <c r="D263"/>
      <c r="H263" s="8"/>
      <c r="J263"/>
      <c r="K263"/>
      <c r="L263"/>
      <c r="Q263" s="1"/>
      <c r="Y263" s="4"/>
      <c r="AJ263"/>
      <c r="AK263" s="14"/>
    </row>
    <row r="264" spans="4:37" ht="14.25" customHeight="1" x14ac:dyDescent="0.35">
      <c r="D264"/>
      <c r="H264" s="8"/>
      <c r="J264"/>
      <c r="K264"/>
      <c r="L264"/>
      <c r="Q264" s="1"/>
      <c r="Y264" s="4"/>
      <c r="AJ264"/>
      <c r="AK264" s="14"/>
    </row>
    <row r="265" spans="4:37" ht="14.25" customHeight="1" x14ac:dyDescent="0.35">
      <c r="D265"/>
      <c r="H265" s="8"/>
      <c r="J265"/>
      <c r="K265"/>
      <c r="L265"/>
      <c r="Q265" s="1"/>
      <c r="Y265" s="4"/>
      <c r="AJ265"/>
      <c r="AK265" s="14"/>
    </row>
    <row r="266" spans="4:37" ht="14.25" customHeight="1" x14ac:dyDescent="0.35">
      <c r="D266"/>
      <c r="H266" s="8"/>
      <c r="J266"/>
      <c r="K266"/>
      <c r="L266"/>
      <c r="Q266" s="1"/>
      <c r="Y266" s="4"/>
      <c r="AJ266"/>
      <c r="AK266" s="14"/>
    </row>
    <row r="267" spans="4:37" ht="14.25" customHeight="1" x14ac:dyDescent="0.35">
      <c r="D267"/>
      <c r="H267" s="8"/>
      <c r="J267"/>
      <c r="K267"/>
      <c r="L267"/>
      <c r="Q267" s="1"/>
      <c r="Y267" s="4"/>
      <c r="AJ267"/>
      <c r="AK267" s="14"/>
    </row>
    <row r="268" spans="4:37" ht="14.25" customHeight="1" x14ac:dyDescent="0.35">
      <c r="D268"/>
      <c r="H268" s="8"/>
      <c r="J268"/>
      <c r="K268"/>
      <c r="L268"/>
      <c r="Q268" s="1"/>
      <c r="Y268" s="4"/>
      <c r="AJ268"/>
      <c r="AK268" s="14"/>
    </row>
    <row r="269" spans="4:37" ht="14.25" customHeight="1" x14ac:dyDescent="0.35">
      <c r="D269"/>
      <c r="H269" s="8"/>
      <c r="J269"/>
      <c r="K269"/>
      <c r="L269"/>
      <c r="Q269" s="1"/>
      <c r="Y269" s="4"/>
      <c r="AJ269"/>
      <c r="AK269" s="14"/>
    </row>
    <row r="270" spans="4:37" ht="14.25" customHeight="1" x14ac:dyDescent="0.35">
      <c r="D270"/>
      <c r="H270" s="8"/>
      <c r="J270"/>
      <c r="K270"/>
      <c r="L270"/>
      <c r="Q270" s="1"/>
      <c r="Y270" s="4"/>
      <c r="AJ270"/>
      <c r="AK270" s="14"/>
    </row>
    <row r="271" spans="4:37" ht="14.25" customHeight="1" x14ac:dyDescent="0.35">
      <c r="D271"/>
      <c r="H271" s="8"/>
      <c r="J271"/>
      <c r="K271"/>
      <c r="L271"/>
      <c r="Q271" s="1"/>
      <c r="Y271" s="4"/>
      <c r="AJ271"/>
      <c r="AK271" s="14"/>
    </row>
    <row r="272" spans="4:37" ht="14.25" customHeight="1" x14ac:dyDescent="0.35">
      <c r="D272"/>
      <c r="H272" s="8"/>
      <c r="J272"/>
      <c r="K272"/>
      <c r="L272"/>
      <c r="Q272" s="1"/>
      <c r="Y272" s="4"/>
      <c r="AJ272"/>
      <c r="AK272" s="14"/>
    </row>
    <row r="273" spans="4:37" ht="14.25" customHeight="1" x14ac:dyDescent="0.35">
      <c r="D273"/>
      <c r="H273" s="8"/>
      <c r="J273"/>
      <c r="K273"/>
      <c r="L273"/>
      <c r="Q273" s="1"/>
      <c r="Y273" s="4"/>
      <c r="AJ273"/>
      <c r="AK273" s="14"/>
    </row>
    <row r="274" spans="4:37" ht="14.25" customHeight="1" x14ac:dyDescent="0.35">
      <c r="D274"/>
      <c r="H274" s="8"/>
      <c r="J274"/>
      <c r="K274"/>
      <c r="L274"/>
      <c r="Q274" s="1"/>
      <c r="Y274" s="4"/>
      <c r="AJ274"/>
      <c r="AK274" s="14"/>
    </row>
    <row r="275" spans="4:37" ht="14.25" customHeight="1" x14ac:dyDescent="0.35">
      <c r="D275"/>
      <c r="H275" s="8"/>
      <c r="J275"/>
      <c r="K275"/>
      <c r="L275"/>
      <c r="Q275" s="1"/>
      <c r="Y275" s="4"/>
      <c r="AJ275"/>
      <c r="AK275" s="14"/>
    </row>
    <row r="276" spans="4:37" ht="14.25" customHeight="1" x14ac:dyDescent="0.35">
      <c r="D276"/>
      <c r="H276" s="8"/>
      <c r="J276"/>
      <c r="K276"/>
      <c r="L276"/>
      <c r="Q276" s="1"/>
      <c r="Y276" s="4"/>
      <c r="AJ276"/>
      <c r="AK276" s="14"/>
    </row>
    <row r="277" spans="4:37" ht="14.25" customHeight="1" x14ac:dyDescent="0.35">
      <c r="D277"/>
      <c r="H277" s="8"/>
      <c r="J277"/>
      <c r="K277"/>
      <c r="L277"/>
      <c r="Q277" s="1"/>
      <c r="Y277" s="4"/>
      <c r="AJ277"/>
      <c r="AK277" s="14"/>
    </row>
    <row r="278" spans="4:37" ht="14.25" customHeight="1" x14ac:dyDescent="0.35">
      <c r="D278"/>
      <c r="H278" s="8"/>
      <c r="J278"/>
      <c r="K278"/>
      <c r="L278"/>
      <c r="Q278" s="1"/>
      <c r="Y278" s="4"/>
      <c r="AJ278"/>
      <c r="AK278" s="14"/>
    </row>
    <row r="279" spans="4:37" ht="14.25" customHeight="1" x14ac:dyDescent="0.35">
      <c r="D279"/>
      <c r="H279" s="8"/>
      <c r="J279"/>
      <c r="K279"/>
      <c r="L279"/>
      <c r="Q279" s="1"/>
      <c r="Y279" s="4"/>
      <c r="AJ279"/>
      <c r="AK279" s="14"/>
    </row>
    <row r="280" spans="4:37" ht="14.25" customHeight="1" x14ac:dyDescent="0.35">
      <c r="D280"/>
      <c r="H280" s="8"/>
      <c r="J280"/>
      <c r="K280"/>
      <c r="L280"/>
      <c r="Q280" s="1"/>
      <c r="Y280" s="4"/>
      <c r="AJ280"/>
      <c r="AK280" s="14"/>
    </row>
    <row r="281" spans="4:37" ht="14.25" customHeight="1" x14ac:dyDescent="0.35">
      <c r="D281"/>
      <c r="H281" s="8"/>
      <c r="J281"/>
      <c r="K281"/>
      <c r="L281"/>
      <c r="Q281" s="1"/>
      <c r="Y281" s="4"/>
      <c r="AJ281"/>
      <c r="AK281" s="14"/>
    </row>
    <row r="282" spans="4:37" ht="14.25" customHeight="1" x14ac:dyDescent="0.35">
      <c r="D282"/>
      <c r="H282" s="8"/>
      <c r="J282"/>
      <c r="K282"/>
      <c r="L282"/>
      <c r="Q282" s="1"/>
      <c r="Y282" s="4"/>
      <c r="AJ282"/>
      <c r="AK282" s="14"/>
    </row>
    <row r="283" spans="4:37" ht="14.25" customHeight="1" x14ac:dyDescent="0.35">
      <c r="D283"/>
      <c r="H283" s="8"/>
      <c r="J283"/>
      <c r="K283"/>
      <c r="L283"/>
      <c r="Q283" s="1"/>
      <c r="Y283" s="4"/>
      <c r="AJ283"/>
      <c r="AK283" s="14"/>
    </row>
    <row r="284" spans="4:37" ht="14.25" customHeight="1" x14ac:dyDescent="0.35">
      <c r="D284"/>
      <c r="H284" s="8"/>
      <c r="J284"/>
      <c r="K284"/>
      <c r="L284"/>
      <c r="Q284" s="1"/>
      <c r="Y284" s="4"/>
      <c r="AJ284"/>
      <c r="AK284" s="14"/>
    </row>
    <row r="285" spans="4:37" ht="14.25" customHeight="1" x14ac:dyDescent="0.35">
      <c r="D285"/>
      <c r="H285" s="8"/>
      <c r="J285"/>
      <c r="K285"/>
      <c r="L285"/>
      <c r="Q285" s="1"/>
      <c r="Y285" s="4"/>
      <c r="AJ285"/>
      <c r="AK285" s="14"/>
    </row>
    <row r="286" spans="4:37" ht="14.25" customHeight="1" x14ac:dyDescent="0.35">
      <c r="D286"/>
      <c r="H286" s="8"/>
      <c r="J286"/>
      <c r="K286"/>
      <c r="L286"/>
      <c r="Q286" s="1"/>
      <c r="Y286" s="4"/>
      <c r="AJ286"/>
      <c r="AK286" s="14"/>
    </row>
    <row r="287" spans="4:37" ht="14.25" customHeight="1" x14ac:dyDescent="0.35">
      <c r="D287"/>
      <c r="H287" s="8"/>
      <c r="J287"/>
      <c r="K287"/>
      <c r="L287"/>
      <c r="Q287" s="1"/>
      <c r="Y287" s="4"/>
      <c r="AJ287"/>
      <c r="AK287" s="14"/>
    </row>
    <row r="288" spans="4:37" ht="14.25" customHeight="1" x14ac:dyDescent="0.35">
      <c r="D288"/>
      <c r="H288" s="8"/>
      <c r="J288"/>
      <c r="K288"/>
      <c r="L288"/>
      <c r="Q288" s="1"/>
      <c r="Y288" s="4"/>
      <c r="AJ288"/>
      <c r="AK288" s="14"/>
    </row>
    <row r="289" spans="4:37" ht="14.25" customHeight="1" x14ac:dyDescent="0.35">
      <c r="D289"/>
      <c r="H289" s="8"/>
      <c r="J289"/>
      <c r="K289"/>
      <c r="L289"/>
      <c r="Q289" s="1"/>
      <c r="Y289" s="4"/>
      <c r="AJ289"/>
      <c r="AK289" s="14"/>
    </row>
    <row r="290" spans="4:37" ht="14.25" customHeight="1" x14ac:dyDescent="0.35">
      <c r="D290"/>
      <c r="H290" s="8"/>
      <c r="J290"/>
      <c r="K290"/>
      <c r="L290"/>
      <c r="Q290" s="1"/>
      <c r="Y290" s="4"/>
      <c r="AJ290"/>
      <c r="AK290" s="14"/>
    </row>
    <row r="291" spans="4:37" ht="14.25" customHeight="1" x14ac:dyDescent="0.35">
      <c r="D291"/>
      <c r="H291" s="8"/>
      <c r="J291"/>
      <c r="K291"/>
      <c r="L291"/>
      <c r="Q291" s="1"/>
      <c r="Y291" s="4"/>
      <c r="AJ291"/>
      <c r="AK291" s="14"/>
    </row>
    <row r="292" spans="4:37" ht="14.25" customHeight="1" x14ac:dyDescent="0.35">
      <c r="D292"/>
      <c r="H292" s="8"/>
      <c r="J292"/>
      <c r="K292"/>
      <c r="L292"/>
      <c r="Q292" s="1"/>
      <c r="Y292" s="4"/>
      <c r="AJ292"/>
      <c r="AK292" s="14"/>
    </row>
    <row r="293" spans="4:37" ht="14.25" customHeight="1" x14ac:dyDescent="0.35">
      <c r="D293"/>
      <c r="H293" s="8"/>
      <c r="J293"/>
      <c r="K293"/>
      <c r="L293"/>
      <c r="Q293" s="1"/>
      <c r="Y293" s="4"/>
      <c r="AJ293"/>
      <c r="AK293" s="14"/>
    </row>
    <row r="294" spans="4:37" ht="14.25" customHeight="1" x14ac:dyDescent="0.35">
      <c r="D294"/>
      <c r="H294" s="8"/>
      <c r="J294"/>
      <c r="K294"/>
      <c r="L294"/>
      <c r="Q294" s="1"/>
      <c r="Y294" s="4"/>
      <c r="AJ294"/>
      <c r="AK294" s="14"/>
    </row>
    <row r="295" spans="4:37" ht="14.25" customHeight="1" x14ac:dyDescent="0.35">
      <c r="D295"/>
      <c r="H295" s="8"/>
      <c r="J295"/>
      <c r="K295"/>
      <c r="L295"/>
      <c r="Q295" s="1"/>
      <c r="Y295" s="4"/>
      <c r="AJ295"/>
      <c r="AK295" s="14"/>
    </row>
    <row r="296" spans="4:37" ht="14.25" customHeight="1" x14ac:dyDescent="0.35">
      <c r="D296"/>
      <c r="H296" s="8"/>
      <c r="J296"/>
      <c r="K296"/>
      <c r="L296"/>
      <c r="Q296" s="1"/>
      <c r="Y296" s="4"/>
      <c r="AJ296"/>
      <c r="AK296" s="14"/>
    </row>
    <row r="297" spans="4:37" ht="14.25" customHeight="1" x14ac:dyDescent="0.35">
      <c r="D297"/>
      <c r="H297" s="8"/>
      <c r="J297"/>
      <c r="K297"/>
      <c r="L297"/>
      <c r="Q297" s="1"/>
      <c r="Y297" s="4"/>
      <c r="AJ297"/>
      <c r="AK297" s="14"/>
    </row>
    <row r="298" spans="4:37" ht="14.25" customHeight="1" x14ac:dyDescent="0.35">
      <c r="D298"/>
      <c r="H298" s="8"/>
      <c r="J298"/>
      <c r="K298"/>
      <c r="L298"/>
      <c r="Q298" s="1"/>
      <c r="Y298" s="4"/>
      <c r="AJ298"/>
      <c r="AK298" s="14"/>
    </row>
    <row r="299" spans="4:37" ht="14.25" customHeight="1" x14ac:dyDescent="0.35">
      <c r="D299"/>
      <c r="H299" s="8"/>
      <c r="J299"/>
      <c r="K299"/>
      <c r="L299"/>
      <c r="Q299" s="1"/>
      <c r="Y299" s="4"/>
      <c r="AJ299"/>
      <c r="AK299" s="14"/>
    </row>
    <row r="300" spans="4:37" ht="14.25" customHeight="1" x14ac:dyDescent="0.35">
      <c r="D300"/>
      <c r="H300" s="8"/>
      <c r="J300"/>
      <c r="K300"/>
      <c r="L300"/>
      <c r="Q300" s="1"/>
      <c r="Y300" s="4"/>
      <c r="AJ300"/>
      <c r="AK300" s="14"/>
    </row>
    <row r="301" spans="4:37" ht="14.25" customHeight="1" x14ac:dyDescent="0.35">
      <c r="D301"/>
      <c r="H301" s="8"/>
      <c r="J301"/>
      <c r="K301"/>
      <c r="L301"/>
      <c r="Q301" s="1"/>
      <c r="Y301" s="4"/>
      <c r="AJ301"/>
      <c r="AK301" s="14"/>
    </row>
    <row r="302" spans="4:37" ht="14.25" customHeight="1" x14ac:dyDescent="0.35">
      <c r="D302"/>
      <c r="H302" s="8"/>
      <c r="J302"/>
      <c r="K302"/>
      <c r="L302"/>
      <c r="Q302" s="1"/>
      <c r="Y302" s="4"/>
      <c r="AJ302"/>
      <c r="AK302" s="14"/>
    </row>
    <row r="303" spans="4:37" ht="14.25" customHeight="1" x14ac:dyDescent="0.35">
      <c r="D303"/>
      <c r="H303" s="8"/>
      <c r="J303"/>
      <c r="K303"/>
      <c r="L303"/>
      <c r="Q303" s="1"/>
      <c r="Y303" s="4"/>
      <c r="AJ303"/>
      <c r="AK303" s="14"/>
    </row>
    <row r="304" spans="4:37" ht="14.25" customHeight="1" x14ac:dyDescent="0.35">
      <c r="D304"/>
      <c r="H304" s="8"/>
      <c r="J304"/>
      <c r="K304"/>
      <c r="L304"/>
      <c r="Q304" s="1"/>
      <c r="Y304" s="4"/>
      <c r="AJ304"/>
      <c r="AK304" s="14"/>
    </row>
    <row r="305" spans="4:37" ht="14.25" customHeight="1" x14ac:dyDescent="0.35">
      <c r="D305"/>
      <c r="H305" s="8"/>
      <c r="J305"/>
      <c r="K305"/>
      <c r="L305"/>
      <c r="Q305" s="1"/>
      <c r="Y305" s="4"/>
      <c r="AJ305"/>
      <c r="AK305" s="14"/>
    </row>
    <row r="306" spans="4:37" ht="14.25" customHeight="1" x14ac:dyDescent="0.35">
      <c r="D306"/>
      <c r="H306" s="8"/>
      <c r="J306"/>
      <c r="K306"/>
      <c r="L306"/>
      <c r="Q306" s="1"/>
      <c r="Y306" s="4"/>
      <c r="AJ306"/>
      <c r="AK306" s="14"/>
    </row>
    <row r="307" spans="4:37" ht="14.25" customHeight="1" x14ac:dyDescent="0.35">
      <c r="D307"/>
      <c r="H307" s="8"/>
      <c r="J307"/>
      <c r="K307"/>
      <c r="L307"/>
      <c r="Q307" s="1"/>
      <c r="Y307" s="4"/>
      <c r="AJ307"/>
      <c r="AK307" s="14"/>
    </row>
    <row r="308" spans="4:37" ht="14.25" customHeight="1" x14ac:dyDescent="0.35">
      <c r="D308"/>
      <c r="H308" s="8"/>
      <c r="J308"/>
      <c r="K308"/>
      <c r="L308"/>
      <c r="Q308" s="1"/>
      <c r="Y308" s="4"/>
      <c r="AJ308"/>
      <c r="AK308" s="14"/>
    </row>
    <row r="309" spans="4:37" ht="14.25" customHeight="1" x14ac:dyDescent="0.35">
      <c r="D309"/>
      <c r="H309" s="8"/>
      <c r="J309"/>
      <c r="K309"/>
      <c r="L309"/>
      <c r="Q309" s="1"/>
      <c r="Y309" s="4"/>
      <c r="AJ309"/>
      <c r="AK309" s="14"/>
    </row>
    <row r="310" spans="4:37" ht="14.25" customHeight="1" x14ac:dyDescent="0.35">
      <c r="D310"/>
      <c r="H310" s="8"/>
      <c r="J310"/>
      <c r="K310"/>
      <c r="L310"/>
      <c r="Q310" s="1"/>
      <c r="Y310" s="4"/>
      <c r="AJ310"/>
      <c r="AK310" s="14"/>
    </row>
    <row r="311" spans="4:37" ht="14.25" customHeight="1" x14ac:dyDescent="0.35">
      <c r="D311"/>
      <c r="H311" s="8"/>
      <c r="J311"/>
      <c r="K311"/>
      <c r="L311"/>
      <c r="Q311" s="1"/>
      <c r="Y311" s="4"/>
      <c r="AJ311"/>
      <c r="AK311" s="14"/>
    </row>
    <row r="312" spans="4:37" ht="14.25" customHeight="1" x14ac:dyDescent="0.35">
      <c r="D312"/>
      <c r="H312" s="8"/>
      <c r="J312"/>
      <c r="K312"/>
      <c r="L312"/>
      <c r="Q312" s="1"/>
      <c r="Y312" s="4"/>
      <c r="AJ312"/>
      <c r="AK312" s="14"/>
    </row>
    <row r="313" spans="4:37" ht="14.25" customHeight="1" x14ac:dyDescent="0.35">
      <c r="D313"/>
      <c r="H313" s="8"/>
      <c r="J313"/>
      <c r="K313"/>
      <c r="L313"/>
      <c r="Q313" s="1"/>
      <c r="Y313" s="4"/>
      <c r="AJ313"/>
      <c r="AK313" s="14"/>
    </row>
    <row r="314" spans="4:37" ht="14.25" customHeight="1" x14ac:dyDescent="0.35">
      <c r="D314"/>
      <c r="H314" s="8"/>
      <c r="J314"/>
      <c r="K314"/>
      <c r="L314"/>
      <c r="Q314" s="1"/>
      <c r="Y314" s="4"/>
      <c r="AJ314"/>
      <c r="AK314" s="14"/>
    </row>
    <row r="315" spans="4:37" ht="14.25" customHeight="1" x14ac:dyDescent="0.35">
      <c r="D315"/>
      <c r="H315" s="8"/>
      <c r="J315"/>
      <c r="K315"/>
      <c r="L315"/>
      <c r="Q315" s="1"/>
      <c r="Y315" s="4"/>
      <c r="AJ315"/>
      <c r="AK315" s="14"/>
    </row>
    <row r="316" spans="4:37" ht="14.25" customHeight="1" x14ac:dyDescent="0.35">
      <c r="D316"/>
      <c r="H316" s="8"/>
      <c r="J316"/>
      <c r="K316"/>
      <c r="L316"/>
      <c r="Q316" s="1"/>
      <c r="Y316" s="4"/>
      <c r="AJ316"/>
      <c r="AK316" s="14"/>
    </row>
    <row r="317" spans="4:37" ht="14.25" customHeight="1" x14ac:dyDescent="0.35">
      <c r="D317"/>
      <c r="H317" s="8"/>
      <c r="J317"/>
      <c r="K317"/>
      <c r="L317"/>
      <c r="Q317" s="1"/>
      <c r="Y317" s="4"/>
      <c r="AJ317"/>
      <c r="AK317" s="14"/>
    </row>
    <row r="318" spans="4:37" ht="14.25" customHeight="1" x14ac:dyDescent="0.35">
      <c r="D318"/>
      <c r="H318" s="8"/>
      <c r="J318"/>
      <c r="K318"/>
      <c r="L318"/>
      <c r="Q318" s="1"/>
      <c r="Y318" s="4"/>
      <c r="AJ318"/>
      <c r="AK318" s="14"/>
    </row>
    <row r="319" spans="4:37" ht="14.25" customHeight="1" x14ac:dyDescent="0.35">
      <c r="D319"/>
      <c r="H319" s="8"/>
      <c r="J319"/>
      <c r="K319"/>
      <c r="L319"/>
      <c r="Q319" s="1"/>
      <c r="Y319" s="4"/>
      <c r="AJ319"/>
      <c r="AK319" s="14"/>
    </row>
    <row r="320" spans="4:37" ht="14.25" customHeight="1" x14ac:dyDescent="0.35">
      <c r="D320"/>
      <c r="H320" s="8"/>
      <c r="J320"/>
      <c r="K320"/>
      <c r="L320"/>
      <c r="Q320" s="1"/>
      <c r="Y320" s="4"/>
      <c r="AJ320"/>
      <c r="AK320" s="14"/>
    </row>
    <row r="321" spans="4:37" ht="14.25" customHeight="1" x14ac:dyDescent="0.35">
      <c r="D321"/>
      <c r="H321" s="8"/>
      <c r="J321"/>
      <c r="K321"/>
      <c r="L321"/>
      <c r="Q321" s="1"/>
      <c r="Y321" s="4"/>
      <c r="AJ321"/>
      <c r="AK321" s="14"/>
    </row>
    <row r="322" spans="4:37" ht="14.25" customHeight="1" x14ac:dyDescent="0.35">
      <c r="D322"/>
      <c r="H322" s="8"/>
      <c r="J322"/>
      <c r="K322"/>
      <c r="L322"/>
      <c r="Q322" s="1"/>
      <c r="Y322" s="4"/>
      <c r="AJ322"/>
      <c r="AK322" s="14"/>
    </row>
    <row r="323" spans="4:37" ht="14.25" customHeight="1" x14ac:dyDescent="0.35">
      <c r="D323"/>
      <c r="H323" s="8"/>
      <c r="J323"/>
      <c r="K323"/>
      <c r="L323"/>
      <c r="Q323" s="1"/>
      <c r="Y323" s="4"/>
      <c r="AJ323"/>
      <c r="AK323" s="14"/>
    </row>
    <row r="324" spans="4:37" ht="14.25" customHeight="1" x14ac:dyDescent="0.35">
      <c r="D324"/>
      <c r="H324" s="8"/>
      <c r="J324"/>
      <c r="K324"/>
      <c r="L324"/>
      <c r="Q324" s="1"/>
      <c r="Y324" s="4"/>
      <c r="AJ324"/>
      <c r="AK324" s="14"/>
    </row>
    <row r="325" spans="4:37" ht="14.25" customHeight="1" x14ac:dyDescent="0.35">
      <c r="D325"/>
      <c r="H325" s="8"/>
      <c r="J325"/>
      <c r="K325"/>
      <c r="L325"/>
      <c r="Q325" s="1"/>
      <c r="Y325" s="4"/>
      <c r="AJ325"/>
      <c r="AK325" s="14"/>
    </row>
    <row r="326" spans="4:37" ht="14.25" customHeight="1" x14ac:dyDescent="0.35">
      <c r="D326"/>
      <c r="H326" s="8"/>
      <c r="J326"/>
      <c r="K326"/>
      <c r="L326"/>
      <c r="Q326" s="1"/>
      <c r="Y326" s="4"/>
      <c r="AJ326"/>
      <c r="AK326" s="14"/>
    </row>
    <row r="327" spans="4:37" ht="14.25" customHeight="1" x14ac:dyDescent="0.35">
      <c r="D327"/>
      <c r="H327" s="8"/>
      <c r="J327"/>
      <c r="K327"/>
      <c r="L327"/>
      <c r="Q327" s="1"/>
      <c r="Y327" s="4"/>
      <c r="AJ327"/>
      <c r="AK327" s="14"/>
    </row>
    <row r="328" spans="4:37" ht="14.25" customHeight="1" x14ac:dyDescent="0.35">
      <c r="D328"/>
      <c r="H328" s="8"/>
      <c r="J328"/>
      <c r="K328"/>
      <c r="L328"/>
      <c r="Q328" s="1"/>
      <c r="Y328" s="4"/>
      <c r="AJ328"/>
      <c r="AK328" s="14"/>
    </row>
    <row r="329" spans="4:37" ht="14.25" customHeight="1" x14ac:dyDescent="0.35">
      <c r="D329"/>
      <c r="H329" s="8"/>
      <c r="J329"/>
      <c r="K329"/>
      <c r="L329"/>
      <c r="Q329" s="1"/>
      <c r="Y329" s="4"/>
      <c r="AJ329"/>
      <c r="AK329" s="14"/>
    </row>
    <row r="330" spans="4:37" ht="14.25" customHeight="1" x14ac:dyDescent="0.35">
      <c r="D330"/>
      <c r="H330" s="8"/>
      <c r="J330"/>
      <c r="K330"/>
      <c r="L330"/>
      <c r="Q330" s="1"/>
      <c r="Y330" s="4"/>
      <c r="AJ330"/>
      <c r="AK330" s="14"/>
    </row>
    <row r="331" spans="4:37" ht="14.25" customHeight="1" x14ac:dyDescent="0.35">
      <c r="D331"/>
      <c r="H331" s="8"/>
      <c r="J331"/>
      <c r="K331"/>
      <c r="L331"/>
      <c r="Q331" s="1"/>
      <c r="Y331" s="4"/>
      <c r="AJ331"/>
      <c r="AK331" s="14"/>
    </row>
    <row r="332" spans="4:37" ht="14.25" customHeight="1" x14ac:dyDescent="0.35">
      <c r="D332"/>
      <c r="H332" s="8"/>
      <c r="J332"/>
      <c r="K332"/>
      <c r="L332"/>
      <c r="Q332" s="1"/>
      <c r="Y332" s="4"/>
      <c r="AJ332"/>
      <c r="AK332" s="14"/>
    </row>
    <row r="333" spans="4:37" ht="14.25" customHeight="1" x14ac:dyDescent="0.35">
      <c r="D333"/>
      <c r="H333" s="8"/>
      <c r="J333"/>
      <c r="K333"/>
      <c r="L333"/>
      <c r="Q333" s="1"/>
      <c r="Y333" s="4"/>
      <c r="AJ333"/>
      <c r="AK333" s="14"/>
    </row>
    <row r="334" spans="4:37" ht="14.25" customHeight="1" x14ac:dyDescent="0.35">
      <c r="D334"/>
      <c r="H334" s="8"/>
      <c r="J334"/>
      <c r="K334"/>
      <c r="L334"/>
      <c r="Q334" s="1"/>
      <c r="Y334" s="4"/>
      <c r="AJ334"/>
      <c r="AK334" s="14"/>
    </row>
    <row r="335" spans="4:37" ht="14.25" customHeight="1" x14ac:dyDescent="0.35">
      <c r="D335"/>
      <c r="H335" s="8"/>
      <c r="J335"/>
      <c r="K335"/>
      <c r="L335"/>
      <c r="Q335" s="1"/>
      <c r="Y335" s="4"/>
      <c r="AJ335"/>
      <c r="AK335" s="14"/>
    </row>
    <row r="336" spans="4:37" ht="14.25" customHeight="1" x14ac:dyDescent="0.35">
      <c r="D336"/>
      <c r="H336" s="8"/>
      <c r="J336"/>
      <c r="K336"/>
      <c r="L336"/>
      <c r="Q336" s="1"/>
      <c r="Y336" s="4"/>
      <c r="AJ336"/>
      <c r="AK336" s="14"/>
    </row>
    <row r="337" spans="4:37" ht="14.25" customHeight="1" x14ac:dyDescent="0.35">
      <c r="D337"/>
      <c r="H337" s="8"/>
      <c r="J337"/>
      <c r="K337"/>
      <c r="L337"/>
      <c r="Q337" s="1"/>
      <c r="Y337" s="4"/>
      <c r="AJ337"/>
      <c r="AK337" s="14"/>
    </row>
    <row r="338" spans="4:37" ht="14.25" customHeight="1" x14ac:dyDescent="0.35">
      <c r="D338"/>
      <c r="H338" s="8"/>
      <c r="J338"/>
      <c r="K338"/>
      <c r="L338"/>
      <c r="Q338" s="1"/>
      <c r="Y338" s="4"/>
      <c r="AJ338"/>
      <c r="AK338" s="14"/>
    </row>
    <row r="339" spans="4:37" ht="14.25" customHeight="1" x14ac:dyDescent="0.35">
      <c r="D339"/>
      <c r="H339" s="8"/>
      <c r="J339"/>
      <c r="K339"/>
      <c r="L339"/>
      <c r="Q339" s="1"/>
      <c r="Y339" s="4"/>
      <c r="AJ339"/>
      <c r="AK339" s="14"/>
    </row>
    <row r="340" spans="4:37" ht="14.25" customHeight="1" x14ac:dyDescent="0.35">
      <c r="D340"/>
      <c r="H340" s="8"/>
      <c r="J340"/>
      <c r="K340"/>
      <c r="L340"/>
      <c r="Q340" s="1"/>
      <c r="Y340" s="4"/>
      <c r="AJ340"/>
      <c r="AK340" s="14"/>
    </row>
    <row r="341" spans="4:37" ht="14.25" customHeight="1" x14ac:dyDescent="0.35">
      <c r="D341"/>
      <c r="H341" s="8"/>
      <c r="J341"/>
      <c r="K341"/>
      <c r="L341"/>
      <c r="Q341" s="1"/>
      <c r="Y341" s="4"/>
      <c r="AJ341"/>
      <c r="AK341" s="14"/>
    </row>
    <row r="342" spans="4:37" ht="14.25" customHeight="1" x14ac:dyDescent="0.35">
      <c r="D342"/>
      <c r="H342" s="8"/>
      <c r="J342"/>
      <c r="K342"/>
      <c r="L342"/>
      <c r="Q342" s="1"/>
      <c r="Y342" s="4"/>
      <c r="AJ342"/>
      <c r="AK342" s="14"/>
    </row>
    <row r="343" spans="4:37" ht="14.25" customHeight="1" x14ac:dyDescent="0.35">
      <c r="D343"/>
      <c r="H343" s="8"/>
      <c r="J343"/>
      <c r="K343"/>
      <c r="L343"/>
      <c r="Q343" s="1"/>
      <c r="Y343" s="4"/>
      <c r="AJ343"/>
      <c r="AK343" s="14"/>
    </row>
    <row r="344" spans="4:37" ht="14.25" customHeight="1" x14ac:dyDescent="0.35">
      <c r="D344"/>
      <c r="H344" s="8"/>
      <c r="J344"/>
      <c r="K344"/>
      <c r="L344"/>
      <c r="Q344" s="1"/>
      <c r="Y344" s="4"/>
      <c r="AJ344"/>
      <c r="AK344" s="14"/>
    </row>
    <row r="345" spans="4:37" ht="14.25" customHeight="1" x14ac:dyDescent="0.35">
      <c r="D345"/>
      <c r="H345" s="8"/>
      <c r="J345"/>
      <c r="K345"/>
      <c r="L345"/>
      <c r="Q345" s="1"/>
      <c r="Y345" s="4"/>
      <c r="AJ345"/>
      <c r="AK345" s="14"/>
    </row>
    <row r="346" spans="4:37" ht="14.25" customHeight="1" x14ac:dyDescent="0.35">
      <c r="D346"/>
      <c r="H346" s="8"/>
      <c r="J346"/>
      <c r="K346"/>
      <c r="L346"/>
      <c r="Q346" s="1"/>
      <c r="Y346" s="4"/>
      <c r="AJ346"/>
      <c r="AK346" s="14"/>
    </row>
    <row r="347" spans="4:37" ht="14.25" customHeight="1" x14ac:dyDescent="0.35">
      <c r="D347"/>
      <c r="H347" s="8"/>
      <c r="J347"/>
      <c r="K347"/>
      <c r="L347"/>
      <c r="Q347" s="1"/>
      <c r="Y347" s="4"/>
      <c r="AJ347"/>
      <c r="AK347" s="14"/>
    </row>
    <row r="348" spans="4:37" ht="14.25" customHeight="1" x14ac:dyDescent="0.35">
      <c r="D348"/>
      <c r="H348" s="8"/>
      <c r="J348"/>
      <c r="K348"/>
      <c r="L348"/>
      <c r="Q348" s="1"/>
      <c r="Y348" s="4"/>
      <c r="AJ348"/>
      <c r="AK348" s="14"/>
    </row>
    <row r="349" spans="4:37" ht="14.25" customHeight="1" x14ac:dyDescent="0.35">
      <c r="D349"/>
      <c r="H349" s="8"/>
      <c r="J349"/>
      <c r="K349"/>
      <c r="L349"/>
      <c r="Q349" s="1"/>
      <c r="Y349" s="4"/>
      <c r="AJ349"/>
      <c r="AK349" s="14"/>
    </row>
    <row r="350" spans="4:37" ht="14.25" customHeight="1" x14ac:dyDescent="0.35">
      <c r="D350"/>
      <c r="H350" s="8"/>
      <c r="J350"/>
      <c r="K350"/>
      <c r="L350"/>
      <c r="Q350" s="1"/>
      <c r="Y350" s="4"/>
      <c r="AJ350"/>
      <c r="AK350" s="14"/>
    </row>
    <row r="351" spans="4:37" ht="14.25" customHeight="1" x14ac:dyDescent="0.35">
      <c r="D351"/>
      <c r="H351" s="8"/>
      <c r="J351"/>
      <c r="K351"/>
      <c r="L351"/>
      <c r="Q351" s="1"/>
      <c r="Y351" s="4"/>
      <c r="AJ351"/>
      <c r="AK351" s="14"/>
    </row>
    <row r="352" spans="4:37" ht="14.25" customHeight="1" x14ac:dyDescent="0.35">
      <c r="D352"/>
      <c r="H352" s="8"/>
      <c r="J352"/>
      <c r="K352"/>
      <c r="L352"/>
      <c r="Q352" s="1"/>
      <c r="Y352" s="4"/>
      <c r="AJ352"/>
      <c r="AK352" s="14"/>
    </row>
    <row r="353" spans="4:37" ht="14.25" customHeight="1" x14ac:dyDescent="0.35">
      <c r="D353"/>
      <c r="H353" s="8"/>
      <c r="J353"/>
      <c r="K353"/>
      <c r="L353"/>
      <c r="Q353" s="1"/>
      <c r="Y353" s="4"/>
      <c r="AJ353"/>
      <c r="AK353" s="14"/>
    </row>
    <row r="354" spans="4:37" ht="14.25" customHeight="1" x14ac:dyDescent="0.35">
      <c r="D354"/>
      <c r="H354" s="8"/>
      <c r="J354"/>
      <c r="K354"/>
      <c r="L354"/>
      <c r="Q354" s="1"/>
      <c r="Y354" s="4"/>
      <c r="AJ354"/>
      <c r="AK354" s="14"/>
    </row>
    <row r="355" spans="4:37" ht="14.25" customHeight="1" x14ac:dyDescent="0.35">
      <c r="D355"/>
      <c r="H355" s="8"/>
      <c r="J355"/>
      <c r="K355"/>
      <c r="L355"/>
      <c r="Q355" s="1"/>
      <c r="Y355" s="4"/>
      <c r="AJ355"/>
      <c r="AK355" s="14"/>
    </row>
    <row r="356" spans="4:37" ht="14.25" customHeight="1" x14ac:dyDescent="0.35">
      <c r="D356"/>
      <c r="H356" s="8"/>
      <c r="J356"/>
      <c r="K356"/>
      <c r="L356"/>
      <c r="Q356" s="1"/>
      <c r="Y356" s="4"/>
      <c r="AJ356"/>
      <c r="AK356" s="14"/>
    </row>
    <row r="357" spans="4:37" ht="14.25" customHeight="1" x14ac:dyDescent="0.35">
      <c r="D357"/>
      <c r="H357" s="8"/>
      <c r="J357"/>
      <c r="K357"/>
      <c r="L357"/>
      <c r="Q357" s="1"/>
      <c r="Y357" s="4"/>
      <c r="AJ357"/>
      <c r="AK357" s="14"/>
    </row>
    <row r="358" spans="4:37" ht="14.25" customHeight="1" x14ac:dyDescent="0.35">
      <c r="D358"/>
      <c r="H358" s="8"/>
      <c r="J358"/>
      <c r="K358"/>
      <c r="L358"/>
      <c r="Q358" s="1"/>
      <c r="Y358" s="4"/>
      <c r="AJ358"/>
      <c r="AK358" s="14"/>
    </row>
    <row r="359" spans="4:37" ht="14.25" customHeight="1" x14ac:dyDescent="0.35">
      <c r="D359"/>
      <c r="H359" s="8"/>
      <c r="J359"/>
      <c r="K359"/>
      <c r="L359"/>
      <c r="Q359" s="1"/>
      <c r="Y359" s="4"/>
      <c r="AJ359"/>
      <c r="AK359" s="14"/>
    </row>
    <row r="360" spans="4:37" ht="14.25" customHeight="1" x14ac:dyDescent="0.35">
      <c r="D360"/>
      <c r="H360" s="8"/>
      <c r="J360"/>
      <c r="K360"/>
      <c r="L360"/>
      <c r="Q360" s="1"/>
      <c r="Y360" s="4"/>
      <c r="AJ360"/>
      <c r="AK360" s="14"/>
    </row>
    <row r="361" spans="4:37" ht="14.25" customHeight="1" x14ac:dyDescent="0.35">
      <c r="D361"/>
      <c r="H361" s="8"/>
      <c r="J361"/>
      <c r="K361"/>
      <c r="L361"/>
      <c r="Q361" s="1"/>
      <c r="Y361" s="4"/>
      <c r="AJ361"/>
      <c r="AK361" s="14"/>
    </row>
    <row r="362" spans="4:37" ht="14.25" customHeight="1" x14ac:dyDescent="0.35">
      <c r="D362"/>
      <c r="H362" s="8"/>
      <c r="J362"/>
      <c r="K362"/>
      <c r="L362"/>
      <c r="Q362" s="1"/>
      <c r="Y362" s="4"/>
      <c r="AJ362"/>
      <c r="AK362" s="14"/>
    </row>
    <row r="363" spans="4:37" ht="14.25" customHeight="1" x14ac:dyDescent="0.35">
      <c r="D363"/>
      <c r="H363" s="8"/>
      <c r="J363"/>
      <c r="K363"/>
      <c r="L363"/>
      <c r="Q363" s="1"/>
      <c r="Y363" s="4"/>
      <c r="AJ363"/>
      <c r="AK363" s="14"/>
    </row>
    <row r="364" spans="4:37" ht="14.25" customHeight="1" x14ac:dyDescent="0.35">
      <c r="D364"/>
      <c r="H364" s="8"/>
      <c r="J364"/>
      <c r="K364"/>
      <c r="L364"/>
      <c r="Q364" s="1"/>
      <c r="Y364" s="4"/>
      <c r="AJ364"/>
      <c r="AK364" s="14"/>
    </row>
    <row r="365" spans="4:37" ht="14.25" customHeight="1" x14ac:dyDescent="0.35">
      <c r="D365"/>
      <c r="H365" s="8"/>
      <c r="J365"/>
      <c r="K365"/>
      <c r="L365"/>
      <c r="Q365" s="1"/>
      <c r="Y365" s="4"/>
      <c r="AJ365"/>
      <c r="AK365" s="14"/>
    </row>
    <row r="366" spans="4:37" ht="14.25" customHeight="1" x14ac:dyDescent="0.35">
      <c r="D366"/>
      <c r="H366" s="8"/>
      <c r="J366"/>
      <c r="K366"/>
      <c r="L366"/>
      <c r="Q366" s="1"/>
      <c r="Y366" s="4"/>
      <c r="AJ366"/>
      <c r="AK366" s="14"/>
    </row>
    <row r="367" spans="4:37" ht="14.25" customHeight="1" x14ac:dyDescent="0.35">
      <c r="D367"/>
      <c r="H367" s="8"/>
      <c r="J367"/>
      <c r="K367"/>
      <c r="L367"/>
      <c r="Q367" s="1"/>
      <c r="Y367" s="4"/>
      <c r="AJ367"/>
      <c r="AK367" s="14"/>
    </row>
    <row r="368" spans="4:37" ht="14.25" customHeight="1" x14ac:dyDescent="0.35">
      <c r="D368"/>
      <c r="H368" s="8"/>
      <c r="J368"/>
      <c r="K368"/>
      <c r="L368"/>
      <c r="Q368" s="1"/>
      <c r="Y368" s="4"/>
      <c r="AJ368"/>
      <c r="AK368" s="14"/>
    </row>
    <row r="369" spans="4:37" ht="14.25" customHeight="1" x14ac:dyDescent="0.35">
      <c r="D369"/>
      <c r="H369" s="8"/>
      <c r="J369"/>
      <c r="K369"/>
      <c r="L369"/>
      <c r="Q369" s="1"/>
      <c r="Y369" s="4"/>
      <c r="AJ369"/>
      <c r="AK369" s="14"/>
    </row>
    <row r="370" spans="4:37" ht="14.25" customHeight="1" x14ac:dyDescent="0.35">
      <c r="D370"/>
      <c r="H370" s="8"/>
      <c r="J370"/>
      <c r="K370"/>
      <c r="L370"/>
      <c r="Q370" s="1"/>
      <c r="Y370" s="4"/>
      <c r="AJ370"/>
      <c r="AK370" s="14"/>
    </row>
    <row r="371" spans="4:37" ht="14.25" customHeight="1" x14ac:dyDescent="0.35">
      <c r="D371"/>
      <c r="H371" s="8"/>
      <c r="J371"/>
      <c r="K371"/>
      <c r="L371"/>
      <c r="Q371" s="1"/>
      <c r="Y371" s="4"/>
      <c r="AJ371"/>
      <c r="AK371" s="14"/>
    </row>
    <row r="372" spans="4:37" ht="14.25" customHeight="1" x14ac:dyDescent="0.35">
      <c r="D372"/>
      <c r="H372" s="8"/>
      <c r="J372"/>
      <c r="K372"/>
      <c r="L372"/>
      <c r="Q372" s="1"/>
      <c r="Y372" s="4"/>
      <c r="AJ372"/>
      <c r="AK372" s="14"/>
    </row>
    <row r="373" spans="4:37" ht="14.25" customHeight="1" x14ac:dyDescent="0.35">
      <c r="D373"/>
      <c r="H373" s="8"/>
      <c r="J373"/>
      <c r="K373"/>
      <c r="L373"/>
      <c r="Q373" s="1"/>
      <c r="Y373" s="4"/>
      <c r="AJ373"/>
      <c r="AK373" s="14"/>
    </row>
    <row r="374" spans="4:37" ht="14.25" customHeight="1" x14ac:dyDescent="0.35">
      <c r="D374"/>
      <c r="H374" s="8"/>
      <c r="J374"/>
      <c r="K374"/>
      <c r="L374"/>
      <c r="Q374" s="1"/>
      <c r="Y374" s="4"/>
      <c r="AJ374"/>
      <c r="AK374" s="14"/>
    </row>
    <row r="375" spans="4:37" ht="14.25" customHeight="1" x14ac:dyDescent="0.35">
      <c r="D375"/>
      <c r="H375" s="8"/>
      <c r="J375"/>
      <c r="K375"/>
      <c r="L375"/>
      <c r="Q375" s="1"/>
      <c r="Y375" s="4"/>
      <c r="AJ375"/>
      <c r="AK375" s="14"/>
    </row>
    <row r="376" spans="4:37" ht="14.25" customHeight="1" x14ac:dyDescent="0.35">
      <c r="D376"/>
      <c r="H376" s="8"/>
      <c r="J376"/>
      <c r="K376"/>
      <c r="L376"/>
      <c r="Q376" s="1"/>
      <c r="Y376" s="4"/>
      <c r="AJ376"/>
      <c r="AK376" s="14"/>
    </row>
    <row r="377" spans="4:37" ht="14.25" customHeight="1" x14ac:dyDescent="0.35">
      <c r="D377"/>
      <c r="H377" s="8"/>
      <c r="J377"/>
      <c r="K377"/>
      <c r="L377"/>
      <c r="Q377" s="1"/>
      <c r="Y377" s="4"/>
      <c r="AJ377"/>
      <c r="AK377" s="14"/>
    </row>
    <row r="378" spans="4:37" ht="14.25" customHeight="1" x14ac:dyDescent="0.35">
      <c r="D378"/>
      <c r="H378" s="8"/>
      <c r="J378"/>
      <c r="K378"/>
      <c r="L378"/>
      <c r="Q378" s="1"/>
      <c r="Y378" s="4"/>
      <c r="AJ378"/>
      <c r="AK378" s="14"/>
    </row>
    <row r="379" spans="4:37" ht="14.25" customHeight="1" x14ac:dyDescent="0.35">
      <c r="D379"/>
      <c r="H379" s="8"/>
      <c r="J379"/>
      <c r="K379"/>
      <c r="L379"/>
      <c r="Q379" s="1"/>
      <c r="Y379" s="4"/>
      <c r="AJ379"/>
      <c r="AK379" s="14"/>
    </row>
    <row r="380" spans="4:37" ht="14.25" customHeight="1" x14ac:dyDescent="0.35">
      <c r="D380"/>
      <c r="H380" s="8"/>
      <c r="J380"/>
      <c r="K380"/>
      <c r="L380"/>
      <c r="Q380" s="1"/>
      <c r="Y380" s="4"/>
      <c r="AJ380"/>
      <c r="AK380" s="14"/>
    </row>
    <row r="381" spans="4:37" ht="14.25" customHeight="1" x14ac:dyDescent="0.35">
      <c r="D381"/>
      <c r="H381" s="8"/>
      <c r="J381"/>
      <c r="K381"/>
      <c r="L381"/>
      <c r="Q381" s="1"/>
      <c r="Y381" s="4"/>
      <c r="AJ381"/>
      <c r="AK381" s="14"/>
    </row>
    <row r="382" spans="4:37" ht="14.25" customHeight="1" x14ac:dyDescent="0.35">
      <c r="D382"/>
      <c r="H382" s="8"/>
      <c r="J382"/>
      <c r="K382"/>
      <c r="L382"/>
      <c r="Q382" s="1"/>
      <c r="Y382" s="4"/>
      <c r="AJ382"/>
      <c r="AK382" s="14"/>
    </row>
    <row r="383" spans="4:37" ht="14.25" customHeight="1" x14ac:dyDescent="0.35">
      <c r="D383"/>
      <c r="H383" s="8"/>
      <c r="J383"/>
      <c r="K383"/>
      <c r="L383"/>
      <c r="Q383" s="1"/>
      <c r="Y383" s="4"/>
      <c r="AJ383"/>
      <c r="AK383" s="14"/>
    </row>
    <row r="384" spans="4:37" ht="14.25" customHeight="1" x14ac:dyDescent="0.35">
      <c r="D384"/>
      <c r="H384" s="8"/>
      <c r="J384"/>
      <c r="K384"/>
      <c r="L384"/>
      <c r="Q384" s="1"/>
      <c r="Y384" s="4"/>
      <c r="AJ384"/>
      <c r="AK384" s="14"/>
    </row>
    <row r="385" spans="4:37" ht="14.25" customHeight="1" x14ac:dyDescent="0.35">
      <c r="D385"/>
      <c r="H385" s="8"/>
      <c r="J385"/>
      <c r="K385"/>
      <c r="L385"/>
      <c r="Q385" s="1"/>
      <c r="Y385" s="4"/>
      <c r="AJ385"/>
      <c r="AK385" s="14"/>
    </row>
    <row r="386" spans="4:37" ht="14.25" customHeight="1" x14ac:dyDescent="0.35">
      <c r="D386"/>
      <c r="H386" s="8"/>
      <c r="J386"/>
      <c r="K386"/>
      <c r="L386"/>
      <c r="Q386" s="1"/>
      <c r="Y386" s="4"/>
      <c r="AJ386"/>
      <c r="AK386" s="14"/>
    </row>
    <row r="387" spans="4:37" ht="14.25" customHeight="1" x14ac:dyDescent="0.35">
      <c r="D387"/>
      <c r="H387" s="8"/>
      <c r="J387"/>
      <c r="K387"/>
      <c r="L387"/>
      <c r="Q387" s="1"/>
      <c r="Y387" s="4"/>
      <c r="AJ387"/>
      <c r="AK387" s="14"/>
    </row>
    <row r="388" spans="4:37" ht="14.25" customHeight="1" x14ac:dyDescent="0.35">
      <c r="D388"/>
      <c r="H388" s="8"/>
      <c r="J388"/>
      <c r="K388"/>
      <c r="L388"/>
      <c r="Q388" s="1"/>
      <c r="Y388" s="4"/>
      <c r="AJ388"/>
      <c r="AK388" s="14"/>
    </row>
    <row r="389" spans="4:37" ht="14.25" customHeight="1" x14ac:dyDescent="0.35">
      <c r="D389"/>
      <c r="H389" s="8"/>
      <c r="J389"/>
      <c r="K389"/>
      <c r="L389"/>
      <c r="Q389" s="1"/>
      <c r="Y389" s="4"/>
      <c r="AJ389"/>
      <c r="AK389" s="14"/>
    </row>
    <row r="390" spans="4:37" ht="14.25" customHeight="1" x14ac:dyDescent="0.35">
      <c r="D390"/>
      <c r="H390" s="8"/>
      <c r="J390"/>
      <c r="K390"/>
      <c r="L390"/>
      <c r="Q390" s="1"/>
      <c r="Y390" s="4"/>
      <c r="AJ390"/>
      <c r="AK390" s="14"/>
    </row>
    <row r="391" spans="4:37" ht="14.25" customHeight="1" x14ac:dyDescent="0.35">
      <c r="D391"/>
      <c r="H391" s="8"/>
      <c r="J391"/>
      <c r="K391"/>
      <c r="L391"/>
      <c r="Q391" s="1"/>
      <c r="Y391" s="4"/>
      <c r="AJ391"/>
      <c r="AK391" s="14"/>
    </row>
    <row r="392" spans="4:37" ht="14.25" customHeight="1" x14ac:dyDescent="0.35">
      <c r="D392"/>
      <c r="H392" s="8"/>
      <c r="J392"/>
      <c r="K392"/>
      <c r="L392"/>
      <c r="Q392" s="1"/>
      <c r="Y392" s="4"/>
      <c r="AJ392"/>
      <c r="AK392" s="14"/>
    </row>
    <row r="393" spans="4:37" ht="14.25" customHeight="1" x14ac:dyDescent="0.35">
      <c r="D393"/>
      <c r="H393" s="8"/>
      <c r="J393"/>
      <c r="K393"/>
      <c r="L393"/>
      <c r="Q393" s="1"/>
      <c r="Y393" s="4"/>
      <c r="AJ393"/>
      <c r="AK393" s="14"/>
    </row>
    <row r="394" spans="4:37" ht="14.25" customHeight="1" x14ac:dyDescent="0.35">
      <c r="D394"/>
      <c r="H394" s="8"/>
      <c r="J394"/>
      <c r="K394"/>
      <c r="L394"/>
      <c r="Q394" s="1"/>
      <c r="Y394" s="4"/>
      <c r="AJ394"/>
      <c r="AK394" s="14"/>
    </row>
    <row r="395" spans="4:37" ht="14.25" customHeight="1" x14ac:dyDescent="0.35">
      <c r="D395"/>
      <c r="H395" s="8"/>
      <c r="J395"/>
      <c r="K395"/>
      <c r="L395"/>
      <c r="Q395" s="1"/>
      <c r="Y395" s="4"/>
      <c r="AJ395"/>
      <c r="AK395" s="14"/>
    </row>
    <row r="396" spans="4:37" ht="14.25" customHeight="1" x14ac:dyDescent="0.35">
      <c r="D396"/>
      <c r="H396" s="8"/>
      <c r="J396"/>
      <c r="K396"/>
      <c r="L396"/>
      <c r="Q396" s="1"/>
      <c r="Y396" s="4"/>
      <c r="AJ396"/>
      <c r="AK396" s="14"/>
    </row>
    <row r="397" spans="4:37" ht="14.25" customHeight="1" x14ac:dyDescent="0.35">
      <c r="D397"/>
      <c r="H397" s="8"/>
      <c r="J397"/>
      <c r="K397"/>
      <c r="L397"/>
      <c r="Q397" s="1"/>
      <c r="Y397" s="4"/>
      <c r="AJ397"/>
      <c r="AK397" s="14"/>
    </row>
    <row r="398" spans="4:37" ht="14.25" customHeight="1" x14ac:dyDescent="0.35">
      <c r="D398"/>
      <c r="H398" s="8"/>
      <c r="J398"/>
      <c r="K398"/>
      <c r="L398"/>
      <c r="Q398" s="1"/>
      <c r="Y398" s="4"/>
      <c r="AJ398"/>
      <c r="AK398" s="14"/>
    </row>
    <row r="399" spans="4:37" ht="14.25" customHeight="1" x14ac:dyDescent="0.35">
      <c r="D399"/>
      <c r="H399" s="8"/>
      <c r="J399"/>
      <c r="K399"/>
      <c r="L399"/>
      <c r="Q399" s="1"/>
      <c r="Y399" s="4"/>
      <c r="AJ399"/>
      <c r="AK399" s="14"/>
    </row>
    <row r="400" spans="4:37" ht="14.25" customHeight="1" x14ac:dyDescent="0.35">
      <c r="D400"/>
      <c r="H400" s="8"/>
      <c r="J400"/>
      <c r="K400"/>
      <c r="L400"/>
      <c r="Q400" s="1"/>
      <c r="Y400" s="4"/>
      <c r="AJ400"/>
      <c r="AK400" s="14"/>
    </row>
    <row r="401" spans="4:37" ht="14.25" customHeight="1" x14ac:dyDescent="0.35">
      <c r="D401"/>
      <c r="H401" s="8"/>
      <c r="J401"/>
      <c r="K401"/>
      <c r="L401"/>
      <c r="Q401" s="1"/>
      <c r="Y401" s="4"/>
      <c r="AJ401"/>
      <c r="AK401" s="14"/>
    </row>
    <row r="402" spans="4:37" ht="14.25" customHeight="1" x14ac:dyDescent="0.35">
      <c r="D402"/>
      <c r="H402" s="8"/>
      <c r="J402"/>
      <c r="K402"/>
      <c r="L402"/>
      <c r="Q402" s="1"/>
      <c r="Y402" s="4"/>
      <c r="AJ402"/>
      <c r="AK402" s="14"/>
    </row>
    <row r="403" spans="4:37" ht="14.25" customHeight="1" x14ac:dyDescent="0.35">
      <c r="D403"/>
      <c r="H403" s="8"/>
      <c r="J403"/>
      <c r="K403"/>
      <c r="L403"/>
      <c r="Q403" s="1"/>
      <c r="Y403" s="4"/>
      <c r="AJ403"/>
      <c r="AK403" s="14"/>
    </row>
    <row r="404" spans="4:37" ht="14.25" customHeight="1" x14ac:dyDescent="0.35">
      <c r="D404"/>
      <c r="H404" s="8"/>
      <c r="J404"/>
      <c r="K404"/>
      <c r="L404"/>
      <c r="Q404" s="1"/>
      <c r="Y404" s="4"/>
      <c r="AJ404"/>
      <c r="AK404" s="14"/>
    </row>
    <row r="405" spans="4:37" ht="14.25" customHeight="1" x14ac:dyDescent="0.35">
      <c r="D405"/>
      <c r="H405" s="8"/>
      <c r="J405"/>
      <c r="K405"/>
      <c r="L405"/>
      <c r="Q405" s="1"/>
      <c r="Y405" s="4"/>
      <c r="AJ405"/>
      <c r="AK405" s="14"/>
    </row>
    <row r="406" spans="4:37" ht="14.25" customHeight="1" x14ac:dyDescent="0.35">
      <c r="D406"/>
      <c r="H406" s="8"/>
      <c r="J406"/>
      <c r="K406"/>
      <c r="L406"/>
      <c r="Q406" s="1"/>
      <c r="Y406" s="4"/>
      <c r="AJ406"/>
      <c r="AK406" s="14"/>
    </row>
    <row r="407" spans="4:37" ht="14.25" customHeight="1" x14ac:dyDescent="0.35">
      <c r="D407"/>
      <c r="H407" s="8"/>
      <c r="J407"/>
      <c r="K407"/>
      <c r="L407"/>
      <c r="Q407" s="1"/>
      <c r="Y407" s="4"/>
      <c r="AJ407"/>
      <c r="AK407" s="14"/>
    </row>
    <row r="408" spans="4:37" ht="14.25" customHeight="1" x14ac:dyDescent="0.35">
      <c r="D408"/>
      <c r="H408" s="8"/>
      <c r="J408"/>
      <c r="K408"/>
      <c r="L408"/>
      <c r="Q408" s="1"/>
      <c r="Y408" s="4"/>
      <c r="AJ408"/>
      <c r="AK408" s="14"/>
    </row>
    <row r="409" spans="4:37" ht="14.25" customHeight="1" x14ac:dyDescent="0.35">
      <c r="D409"/>
      <c r="H409" s="8"/>
      <c r="J409"/>
      <c r="K409"/>
      <c r="L409"/>
      <c r="Q409" s="1"/>
      <c r="Y409" s="4"/>
      <c r="AJ409"/>
      <c r="AK409" s="14"/>
    </row>
    <row r="410" spans="4:37" ht="14.25" customHeight="1" x14ac:dyDescent="0.35">
      <c r="D410"/>
      <c r="H410" s="8"/>
      <c r="J410"/>
      <c r="K410"/>
      <c r="L410"/>
      <c r="Q410" s="1"/>
      <c r="Y410" s="4"/>
      <c r="AJ410"/>
      <c r="AK410" s="14"/>
    </row>
    <row r="411" spans="4:37" ht="14.25" customHeight="1" x14ac:dyDescent="0.35">
      <c r="D411"/>
      <c r="H411" s="8"/>
      <c r="J411"/>
      <c r="K411"/>
      <c r="L411"/>
      <c r="Q411" s="1"/>
      <c r="Y411" s="4"/>
      <c r="AJ411"/>
      <c r="AK411" s="14"/>
    </row>
    <row r="412" spans="4:37" ht="14.25" customHeight="1" x14ac:dyDescent="0.35">
      <c r="D412"/>
      <c r="H412" s="8"/>
      <c r="J412"/>
      <c r="K412"/>
      <c r="L412"/>
      <c r="Q412" s="1"/>
      <c r="Y412" s="4"/>
      <c r="AJ412"/>
      <c r="AK412" s="14"/>
    </row>
    <row r="413" spans="4:37" ht="14.25" customHeight="1" x14ac:dyDescent="0.35">
      <c r="D413"/>
      <c r="H413" s="8"/>
      <c r="J413"/>
      <c r="K413"/>
      <c r="L413"/>
      <c r="Q413" s="1"/>
      <c r="Y413" s="4"/>
      <c r="AJ413"/>
      <c r="AK413" s="14"/>
    </row>
    <row r="414" spans="4:37" ht="14.25" customHeight="1" x14ac:dyDescent="0.35">
      <c r="D414"/>
      <c r="H414" s="8"/>
      <c r="J414"/>
      <c r="K414"/>
      <c r="L414"/>
      <c r="Q414" s="1"/>
      <c r="Y414" s="4"/>
      <c r="AJ414"/>
      <c r="AK414" s="14"/>
    </row>
    <row r="415" spans="4:37" ht="14.25" customHeight="1" x14ac:dyDescent="0.35">
      <c r="D415"/>
      <c r="H415" s="8"/>
      <c r="J415"/>
      <c r="K415"/>
      <c r="L415"/>
      <c r="Q415" s="1"/>
      <c r="Y415" s="4"/>
      <c r="AJ415"/>
      <c r="AK415" s="14"/>
    </row>
    <row r="416" spans="4:37" ht="14.25" customHeight="1" x14ac:dyDescent="0.35">
      <c r="D416"/>
      <c r="H416" s="8"/>
      <c r="J416"/>
      <c r="K416"/>
      <c r="L416"/>
      <c r="Q416" s="1"/>
      <c r="Y416" s="4"/>
      <c r="AJ416"/>
      <c r="AK416" s="14"/>
    </row>
    <row r="417" spans="4:37" ht="14.25" customHeight="1" x14ac:dyDescent="0.35">
      <c r="D417"/>
      <c r="H417" s="8"/>
      <c r="J417"/>
      <c r="K417"/>
      <c r="L417"/>
      <c r="Q417" s="1"/>
      <c r="Y417" s="4"/>
      <c r="AJ417"/>
      <c r="AK417" s="14"/>
    </row>
    <row r="418" spans="4:37" ht="14.25" customHeight="1" x14ac:dyDescent="0.35">
      <c r="D418"/>
      <c r="H418" s="8"/>
      <c r="J418"/>
      <c r="K418"/>
      <c r="L418"/>
      <c r="Q418" s="1"/>
      <c r="Y418" s="4"/>
      <c r="AJ418"/>
      <c r="AK418" s="14"/>
    </row>
    <row r="419" spans="4:37" ht="14.25" customHeight="1" x14ac:dyDescent="0.35">
      <c r="D419"/>
      <c r="H419" s="8"/>
      <c r="J419"/>
      <c r="K419"/>
      <c r="L419"/>
      <c r="Q419" s="1"/>
      <c r="Y419" s="4"/>
      <c r="AJ419"/>
      <c r="AK419" s="14"/>
    </row>
    <row r="420" spans="4:37" ht="14.25" customHeight="1" x14ac:dyDescent="0.35">
      <c r="D420"/>
      <c r="H420" s="8"/>
      <c r="J420"/>
      <c r="K420"/>
      <c r="L420"/>
      <c r="Q420" s="1"/>
      <c r="Y420" s="4"/>
      <c r="AJ420"/>
      <c r="AK420" s="14"/>
    </row>
    <row r="421" spans="4:37" ht="14.25" customHeight="1" x14ac:dyDescent="0.35">
      <c r="D421"/>
      <c r="H421" s="8"/>
      <c r="J421"/>
      <c r="K421"/>
      <c r="L421"/>
      <c r="Q421" s="1"/>
      <c r="Y421" s="4"/>
      <c r="AJ421"/>
      <c r="AK421" s="14"/>
    </row>
    <row r="422" spans="4:37" ht="14.25" customHeight="1" x14ac:dyDescent="0.35">
      <c r="D422"/>
      <c r="H422" s="8"/>
      <c r="J422"/>
      <c r="K422"/>
      <c r="L422"/>
      <c r="Q422" s="1"/>
      <c r="Y422" s="4"/>
      <c r="AJ422"/>
      <c r="AK422" s="14"/>
    </row>
    <row r="423" spans="4:37" ht="14.25" customHeight="1" x14ac:dyDescent="0.35">
      <c r="D423"/>
      <c r="H423" s="8"/>
      <c r="J423"/>
      <c r="K423"/>
      <c r="L423"/>
      <c r="Q423" s="1"/>
      <c r="Y423" s="4"/>
      <c r="AJ423"/>
      <c r="AK423" s="14"/>
    </row>
    <row r="424" spans="4:37" ht="14.25" customHeight="1" x14ac:dyDescent="0.35">
      <c r="D424"/>
      <c r="H424" s="8"/>
      <c r="J424"/>
      <c r="K424"/>
      <c r="L424"/>
      <c r="Q424" s="1"/>
      <c r="Y424" s="4"/>
      <c r="AJ424"/>
      <c r="AK424" s="14"/>
    </row>
    <row r="425" spans="4:37" ht="14.25" customHeight="1" x14ac:dyDescent="0.35">
      <c r="D425"/>
      <c r="H425" s="8"/>
      <c r="J425"/>
      <c r="K425"/>
      <c r="L425"/>
      <c r="Q425" s="1"/>
      <c r="Y425" s="4"/>
      <c r="AJ425"/>
      <c r="AK425" s="14"/>
    </row>
    <row r="426" spans="4:37" ht="14.25" customHeight="1" x14ac:dyDescent="0.35">
      <c r="D426"/>
      <c r="H426" s="8"/>
      <c r="J426"/>
      <c r="K426"/>
      <c r="L426"/>
      <c r="Q426" s="1"/>
      <c r="Y426" s="4"/>
      <c r="AJ426"/>
      <c r="AK426" s="14"/>
    </row>
    <row r="427" spans="4:37" ht="14.25" customHeight="1" x14ac:dyDescent="0.35">
      <c r="D427"/>
      <c r="H427" s="8"/>
      <c r="J427"/>
      <c r="K427"/>
      <c r="L427"/>
      <c r="Q427" s="1"/>
      <c r="Y427" s="4"/>
      <c r="AJ427"/>
      <c r="AK427" s="14"/>
    </row>
    <row r="428" spans="4:37" ht="14.25" customHeight="1" x14ac:dyDescent="0.35">
      <c r="D428"/>
      <c r="H428" s="8"/>
      <c r="J428"/>
      <c r="K428"/>
      <c r="L428"/>
      <c r="Q428" s="1"/>
      <c r="Y428" s="4"/>
      <c r="AJ428"/>
      <c r="AK428" s="14"/>
    </row>
    <row r="429" spans="4:37" ht="14.25" customHeight="1" x14ac:dyDescent="0.35">
      <c r="D429"/>
      <c r="H429" s="8"/>
      <c r="J429"/>
      <c r="K429"/>
      <c r="L429"/>
      <c r="Q429" s="1"/>
      <c r="Y429" s="4"/>
      <c r="AJ429"/>
      <c r="AK429" s="14"/>
    </row>
    <row r="430" spans="4:37" ht="14.25" customHeight="1" x14ac:dyDescent="0.35">
      <c r="D430"/>
      <c r="H430" s="8"/>
      <c r="J430"/>
      <c r="K430"/>
      <c r="L430"/>
      <c r="Q430" s="1"/>
      <c r="Y430" s="4"/>
      <c r="AJ430"/>
      <c r="AK430" s="14"/>
    </row>
    <row r="431" spans="4:37" ht="14.25" customHeight="1" x14ac:dyDescent="0.35">
      <c r="D431"/>
      <c r="H431" s="8"/>
      <c r="J431"/>
      <c r="K431"/>
      <c r="L431"/>
      <c r="Q431" s="1"/>
      <c r="Y431" s="4"/>
      <c r="AJ431"/>
      <c r="AK431" s="14"/>
    </row>
    <row r="432" spans="4:37" ht="14.25" customHeight="1" x14ac:dyDescent="0.35">
      <c r="D432"/>
      <c r="H432" s="8"/>
      <c r="J432"/>
      <c r="K432"/>
      <c r="L432"/>
      <c r="Q432" s="1"/>
      <c r="Y432" s="4"/>
      <c r="AJ432"/>
      <c r="AK432" s="14"/>
    </row>
    <row r="433" spans="4:37" ht="14.25" customHeight="1" x14ac:dyDescent="0.35">
      <c r="D433"/>
      <c r="H433" s="8"/>
      <c r="J433"/>
      <c r="K433"/>
      <c r="L433"/>
      <c r="Q433" s="1"/>
      <c r="Y433" s="4"/>
      <c r="AJ433"/>
      <c r="AK433" s="14"/>
    </row>
    <row r="434" spans="4:37" ht="14.25" customHeight="1" x14ac:dyDescent="0.35">
      <c r="D434"/>
      <c r="H434" s="8"/>
      <c r="J434"/>
      <c r="K434"/>
      <c r="L434"/>
      <c r="Q434" s="1"/>
      <c r="Y434" s="4"/>
      <c r="AJ434"/>
      <c r="AK434" s="14"/>
    </row>
    <row r="435" spans="4:37" ht="14.25" customHeight="1" x14ac:dyDescent="0.35">
      <c r="D435"/>
      <c r="H435" s="8"/>
      <c r="J435"/>
      <c r="K435"/>
      <c r="L435"/>
      <c r="Q435" s="1"/>
      <c r="Y435" s="4"/>
      <c r="AJ435"/>
      <c r="AK435" s="14"/>
    </row>
    <row r="436" spans="4:37" ht="14.25" customHeight="1" x14ac:dyDescent="0.35">
      <c r="D436"/>
      <c r="H436" s="8"/>
      <c r="J436"/>
      <c r="K436"/>
      <c r="L436"/>
      <c r="Q436" s="1"/>
      <c r="Y436" s="4"/>
      <c r="AJ436"/>
      <c r="AK436" s="14"/>
    </row>
    <row r="437" spans="4:37" ht="14.25" customHeight="1" x14ac:dyDescent="0.35">
      <c r="D437"/>
      <c r="H437" s="8"/>
      <c r="J437"/>
      <c r="K437"/>
      <c r="L437"/>
      <c r="Q437" s="1"/>
      <c r="Y437" s="4"/>
      <c r="AJ437"/>
      <c r="AK437" s="14"/>
    </row>
    <row r="438" spans="4:37" ht="14.25" customHeight="1" x14ac:dyDescent="0.35">
      <c r="D438"/>
      <c r="H438" s="8"/>
      <c r="J438"/>
      <c r="K438"/>
      <c r="L438"/>
      <c r="Q438" s="1"/>
      <c r="Y438" s="4"/>
      <c r="AJ438"/>
      <c r="AK438" s="14"/>
    </row>
    <row r="439" spans="4:37" ht="14.25" customHeight="1" x14ac:dyDescent="0.35">
      <c r="D439"/>
      <c r="H439" s="8"/>
      <c r="J439"/>
      <c r="K439"/>
      <c r="L439"/>
      <c r="Q439" s="1"/>
      <c r="Y439" s="4"/>
      <c r="AJ439"/>
      <c r="AK439" s="14"/>
    </row>
    <row r="440" spans="4:37" ht="14.25" customHeight="1" x14ac:dyDescent="0.35">
      <c r="D440"/>
      <c r="H440" s="8"/>
      <c r="J440"/>
      <c r="K440"/>
      <c r="L440"/>
      <c r="Q440" s="1"/>
      <c r="Y440" s="4"/>
      <c r="AJ440"/>
      <c r="AK440" s="14"/>
    </row>
    <row r="441" spans="4:37" ht="14.25" customHeight="1" x14ac:dyDescent="0.35">
      <c r="D441"/>
      <c r="H441" s="8"/>
      <c r="J441"/>
      <c r="K441"/>
      <c r="L441"/>
      <c r="Q441" s="1"/>
      <c r="Y441" s="4"/>
      <c r="AJ441"/>
      <c r="AK441" s="14"/>
    </row>
    <row r="442" spans="4:37" ht="14.25" customHeight="1" x14ac:dyDescent="0.35">
      <c r="D442"/>
      <c r="H442" s="8"/>
      <c r="J442"/>
      <c r="K442"/>
      <c r="L442"/>
      <c r="Q442" s="1"/>
      <c r="Y442" s="4"/>
      <c r="AJ442"/>
      <c r="AK442" s="14"/>
    </row>
    <row r="443" spans="4:37" ht="14.25" customHeight="1" x14ac:dyDescent="0.35">
      <c r="D443"/>
      <c r="H443" s="8"/>
      <c r="J443"/>
      <c r="K443"/>
      <c r="L443"/>
      <c r="Q443" s="1"/>
      <c r="Y443" s="4"/>
      <c r="AJ443"/>
      <c r="AK443" s="14"/>
    </row>
    <row r="444" spans="4:37" ht="14.25" customHeight="1" x14ac:dyDescent="0.35">
      <c r="D444"/>
      <c r="H444" s="8"/>
      <c r="J444"/>
      <c r="K444"/>
      <c r="L444"/>
      <c r="Q444" s="1"/>
      <c r="Y444" s="4"/>
      <c r="AJ444"/>
      <c r="AK444" s="14"/>
    </row>
    <row r="445" spans="4:37" ht="14.25" customHeight="1" x14ac:dyDescent="0.35">
      <c r="D445"/>
      <c r="H445" s="8"/>
      <c r="J445"/>
      <c r="K445"/>
      <c r="L445"/>
      <c r="Q445" s="1"/>
      <c r="Y445" s="4"/>
      <c r="AJ445"/>
      <c r="AK445" s="14"/>
    </row>
    <row r="446" spans="4:37" ht="14.25" customHeight="1" x14ac:dyDescent="0.35">
      <c r="D446"/>
      <c r="H446" s="8"/>
      <c r="J446"/>
      <c r="K446"/>
      <c r="L446"/>
      <c r="Q446" s="1"/>
      <c r="Y446" s="4"/>
      <c r="AJ446"/>
      <c r="AK446" s="14"/>
    </row>
    <row r="447" spans="4:37" ht="14.25" customHeight="1" x14ac:dyDescent="0.35">
      <c r="D447"/>
      <c r="H447" s="8"/>
      <c r="J447"/>
      <c r="K447"/>
      <c r="L447"/>
      <c r="Q447" s="1"/>
      <c r="Y447" s="4"/>
      <c r="AJ447"/>
      <c r="AK447" s="14"/>
    </row>
    <row r="448" spans="4:37" ht="14.25" customHeight="1" x14ac:dyDescent="0.35">
      <c r="D448"/>
      <c r="H448" s="8"/>
      <c r="J448"/>
      <c r="K448"/>
      <c r="L448"/>
      <c r="Q448" s="1"/>
      <c r="Y448" s="4"/>
      <c r="AJ448"/>
      <c r="AK448" s="14"/>
    </row>
    <row r="449" spans="4:37" ht="14.25" customHeight="1" x14ac:dyDescent="0.35">
      <c r="D449"/>
      <c r="H449" s="8"/>
      <c r="J449"/>
      <c r="K449"/>
      <c r="L449"/>
      <c r="Q449" s="1"/>
      <c r="Y449" s="4"/>
      <c r="AJ449"/>
      <c r="AK449" s="14"/>
    </row>
    <row r="450" spans="4:37" ht="14.25" customHeight="1" x14ac:dyDescent="0.35">
      <c r="D450"/>
      <c r="H450" s="8"/>
      <c r="J450"/>
      <c r="K450"/>
      <c r="L450"/>
      <c r="Q450" s="1"/>
      <c r="Y450" s="4"/>
      <c r="AJ450"/>
      <c r="AK450" s="14"/>
    </row>
    <row r="451" spans="4:37" ht="14.25" customHeight="1" x14ac:dyDescent="0.35">
      <c r="D451"/>
      <c r="H451" s="8"/>
      <c r="J451"/>
      <c r="K451"/>
      <c r="L451"/>
      <c r="Q451" s="1"/>
      <c r="Y451" s="4"/>
      <c r="AJ451"/>
      <c r="AK451" s="14"/>
    </row>
    <row r="452" spans="4:37" ht="14.25" customHeight="1" x14ac:dyDescent="0.35">
      <c r="D452"/>
      <c r="H452" s="8"/>
      <c r="J452"/>
      <c r="K452"/>
      <c r="L452"/>
      <c r="Q452" s="1"/>
      <c r="Y452" s="4"/>
      <c r="AJ452"/>
      <c r="AK452" s="14"/>
    </row>
    <row r="453" spans="4:37" ht="14.25" customHeight="1" x14ac:dyDescent="0.35">
      <c r="D453"/>
      <c r="H453" s="8"/>
      <c r="J453"/>
      <c r="K453"/>
      <c r="L453"/>
      <c r="Q453" s="1"/>
      <c r="Y453" s="4"/>
      <c r="AJ453"/>
      <c r="AK453" s="14"/>
    </row>
    <row r="454" spans="4:37" ht="14.25" customHeight="1" x14ac:dyDescent="0.35">
      <c r="D454"/>
      <c r="H454" s="8"/>
      <c r="J454"/>
      <c r="K454"/>
      <c r="L454"/>
      <c r="Q454" s="1"/>
      <c r="Y454" s="4"/>
      <c r="AJ454"/>
      <c r="AK454" s="14"/>
    </row>
    <row r="455" spans="4:37" ht="14.25" customHeight="1" x14ac:dyDescent="0.35">
      <c r="D455"/>
      <c r="H455" s="8"/>
      <c r="J455"/>
      <c r="K455"/>
      <c r="L455"/>
      <c r="Q455" s="1"/>
      <c r="Y455" s="4"/>
      <c r="AJ455"/>
      <c r="AK455" s="14"/>
    </row>
    <row r="456" spans="4:37" ht="14.25" customHeight="1" x14ac:dyDescent="0.35">
      <c r="D456"/>
      <c r="H456" s="8"/>
      <c r="J456"/>
      <c r="K456"/>
      <c r="L456"/>
      <c r="Q456" s="1"/>
      <c r="Y456" s="4"/>
      <c r="AJ456"/>
      <c r="AK456" s="14"/>
    </row>
    <row r="457" spans="4:37" ht="14.25" customHeight="1" x14ac:dyDescent="0.35">
      <c r="D457"/>
      <c r="H457" s="8"/>
      <c r="J457"/>
      <c r="K457"/>
      <c r="L457"/>
      <c r="Q457" s="1"/>
      <c r="Y457" s="4"/>
      <c r="AJ457"/>
      <c r="AK457" s="14"/>
    </row>
    <row r="458" spans="4:37" ht="14.25" customHeight="1" x14ac:dyDescent="0.35">
      <c r="D458"/>
      <c r="H458" s="8"/>
      <c r="J458"/>
      <c r="K458"/>
      <c r="L458"/>
      <c r="Q458" s="1"/>
      <c r="Y458" s="4"/>
      <c r="AJ458"/>
      <c r="AK458" s="14"/>
    </row>
    <row r="459" spans="4:37" ht="14.25" customHeight="1" x14ac:dyDescent="0.35">
      <c r="D459"/>
      <c r="H459" s="8"/>
      <c r="J459"/>
      <c r="K459"/>
      <c r="L459"/>
      <c r="Q459" s="1"/>
      <c r="Y459" s="4"/>
      <c r="AJ459"/>
      <c r="AK459" s="14"/>
    </row>
    <row r="460" spans="4:37" ht="14.25" customHeight="1" x14ac:dyDescent="0.35">
      <c r="D460"/>
      <c r="H460" s="8"/>
      <c r="J460"/>
      <c r="K460"/>
      <c r="L460"/>
      <c r="Q460" s="1"/>
      <c r="Y460" s="4"/>
      <c r="AJ460"/>
      <c r="AK460" s="14"/>
    </row>
    <row r="461" spans="4:37" ht="14.25" customHeight="1" x14ac:dyDescent="0.35">
      <c r="D461"/>
      <c r="H461" s="8"/>
      <c r="J461"/>
      <c r="K461"/>
      <c r="L461"/>
      <c r="Q461" s="1"/>
      <c r="Y461" s="4"/>
      <c r="AJ461"/>
      <c r="AK461" s="14"/>
    </row>
    <row r="462" spans="4:37" ht="14.25" customHeight="1" x14ac:dyDescent="0.35">
      <c r="D462"/>
      <c r="H462" s="8"/>
      <c r="J462"/>
      <c r="K462"/>
      <c r="L462"/>
      <c r="Q462" s="1"/>
      <c r="Y462" s="4"/>
      <c r="AJ462"/>
      <c r="AK462" s="14"/>
    </row>
    <row r="463" spans="4:37" ht="14.25" customHeight="1" x14ac:dyDescent="0.35">
      <c r="D463"/>
      <c r="H463" s="8"/>
      <c r="J463"/>
      <c r="K463"/>
      <c r="L463"/>
      <c r="Q463" s="1"/>
      <c r="Y463" s="4"/>
      <c r="AJ463"/>
      <c r="AK463" s="14"/>
    </row>
    <row r="464" spans="4:37" ht="14.25" customHeight="1" x14ac:dyDescent="0.35">
      <c r="D464"/>
      <c r="H464" s="8"/>
      <c r="J464"/>
      <c r="K464"/>
      <c r="L464"/>
      <c r="Q464" s="1"/>
      <c r="Y464" s="4"/>
      <c r="AJ464"/>
      <c r="AK464" s="14"/>
    </row>
    <row r="465" spans="4:37" ht="14.25" customHeight="1" x14ac:dyDescent="0.35">
      <c r="D465"/>
      <c r="H465" s="8"/>
      <c r="J465"/>
      <c r="K465"/>
      <c r="L465"/>
      <c r="Q465" s="1"/>
      <c r="Y465" s="4"/>
      <c r="AJ465"/>
      <c r="AK465" s="14"/>
    </row>
    <row r="466" spans="4:37" ht="14.25" customHeight="1" x14ac:dyDescent="0.35">
      <c r="D466"/>
      <c r="H466" s="8"/>
      <c r="J466"/>
      <c r="K466"/>
      <c r="L466"/>
      <c r="Q466" s="1"/>
      <c r="Y466" s="4"/>
      <c r="AJ466"/>
      <c r="AK466" s="14"/>
    </row>
    <row r="467" spans="4:37" ht="14.25" customHeight="1" x14ac:dyDescent="0.35">
      <c r="D467"/>
      <c r="H467" s="8"/>
      <c r="J467"/>
      <c r="K467"/>
      <c r="L467"/>
      <c r="Q467" s="1"/>
      <c r="Y467" s="4"/>
      <c r="AJ467"/>
      <c r="AK467" s="14"/>
    </row>
    <row r="468" spans="4:37" ht="14.25" customHeight="1" x14ac:dyDescent="0.35">
      <c r="D468"/>
      <c r="H468" s="8"/>
      <c r="J468"/>
      <c r="K468"/>
      <c r="L468"/>
      <c r="Q468" s="1"/>
      <c r="Y468" s="4"/>
      <c r="AJ468"/>
      <c r="AK468" s="14"/>
    </row>
    <row r="469" spans="4:37" ht="14.25" customHeight="1" x14ac:dyDescent="0.35">
      <c r="D469"/>
      <c r="H469" s="8"/>
      <c r="J469"/>
      <c r="K469"/>
      <c r="L469"/>
      <c r="Q469" s="1"/>
      <c r="Y469" s="4"/>
      <c r="AJ469"/>
      <c r="AK469" s="14"/>
    </row>
    <row r="470" spans="4:37" ht="14.25" customHeight="1" x14ac:dyDescent="0.35">
      <c r="D470"/>
      <c r="H470" s="8"/>
      <c r="J470"/>
      <c r="K470"/>
      <c r="L470"/>
      <c r="Q470" s="1"/>
      <c r="Y470" s="4"/>
      <c r="AJ470"/>
      <c r="AK470" s="14"/>
    </row>
    <row r="471" spans="4:37" ht="14.25" customHeight="1" x14ac:dyDescent="0.35">
      <c r="D471"/>
      <c r="H471" s="8"/>
      <c r="J471"/>
      <c r="K471"/>
      <c r="L471"/>
      <c r="Q471" s="1"/>
      <c r="Y471" s="4"/>
      <c r="AJ471"/>
      <c r="AK471" s="14"/>
    </row>
    <row r="472" spans="4:37" ht="14.25" customHeight="1" x14ac:dyDescent="0.35">
      <c r="D472"/>
      <c r="H472" s="8"/>
      <c r="J472"/>
      <c r="K472"/>
      <c r="L472"/>
      <c r="Q472" s="1"/>
      <c r="Y472" s="4"/>
      <c r="AJ472"/>
      <c r="AK472" s="14"/>
    </row>
    <row r="473" spans="4:37" ht="14.25" customHeight="1" x14ac:dyDescent="0.35">
      <c r="D473"/>
      <c r="H473" s="8"/>
      <c r="J473"/>
      <c r="K473"/>
      <c r="L473"/>
      <c r="Q473" s="1"/>
      <c r="Y473" s="4"/>
      <c r="AJ473"/>
      <c r="AK473" s="14"/>
    </row>
    <row r="474" spans="4:37" ht="14.25" customHeight="1" x14ac:dyDescent="0.35">
      <c r="D474"/>
      <c r="H474" s="8"/>
      <c r="J474"/>
      <c r="K474"/>
      <c r="L474"/>
      <c r="Q474" s="1"/>
      <c r="Y474" s="4"/>
      <c r="AJ474"/>
      <c r="AK474" s="14"/>
    </row>
    <row r="475" spans="4:37" ht="14.25" customHeight="1" x14ac:dyDescent="0.35">
      <c r="D475"/>
      <c r="H475" s="8"/>
      <c r="J475"/>
      <c r="K475"/>
      <c r="L475"/>
      <c r="Q475" s="1"/>
      <c r="Y475" s="4"/>
      <c r="AJ475"/>
      <c r="AK475" s="14"/>
    </row>
    <row r="476" spans="4:37" ht="14.25" customHeight="1" x14ac:dyDescent="0.35">
      <c r="D476"/>
      <c r="H476" s="8"/>
      <c r="J476"/>
      <c r="K476"/>
      <c r="L476"/>
      <c r="Q476" s="1"/>
      <c r="Y476" s="4"/>
      <c r="AJ476"/>
      <c r="AK476" s="14"/>
    </row>
    <row r="477" spans="4:37" ht="14.25" customHeight="1" x14ac:dyDescent="0.35">
      <c r="D477"/>
      <c r="H477" s="8"/>
      <c r="J477"/>
      <c r="K477"/>
      <c r="L477"/>
      <c r="Q477" s="1"/>
      <c r="Y477" s="4"/>
      <c r="AJ477"/>
      <c r="AK477" s="14"/>
    </row>
    <row r="478" spans="4:37" ht="14.25" customHeight="1" x14ac:dyDescent="0.35">
      <c r="D478"/>
      <c r="H478" s="8"/>
      <c r="J478"/>
      <c r="K478"/>
      <c r="L478"/>
      <c r="Q478" s="1"/>
      <c r="Y478" s="4"/>
      <c r="AJ478"/>
      <c r="AK478" s="14"/>
    </row>
    <row r="479" spans="4:37" ht="14.25" customHeight="1" x14ac:dyDescent="0.35">
      <c r="D479"/>
      <c r="H479" s="8"/>
      <c r="J479"/>
      <c r="K479"/>
      <c r="L479"/>
      <c r="Q479" s="1"/>
      <c r="Y479" s="4"/>
      <c r="AJ479"/>
      <c r="AK479" s="14"/>
    </row>
    <row r="480" spans="4:37" ht="14.25" customHeight="1" x14ac:dyDescent="0.35">
      <c r="D480"/>
      <c r="H480" s="8"/>
      <c r="J480"/>
      <c r="K480"/>
      <c r="L480"/>
      <c r="Q480" s="1"/>
      <c r="Y480" s="4"/>
      <c r="AJ480"/>
      <c r="AK480" s="14"/>
    </row>
    <row r="481" spans="4:37" ht="14.25" customHeight="1" x14ac:dyDescent="0.35">
      <c r="D481"/>
      <c r="H481" s="8"/>
      <c r="J481"/>
      <c r="K481"/>
      <c r="L481"/>
      <c r="Q481" s="1"/>
      <c r="Y481" s="4"/>
      <c r="AJ481"/>
      <c r="AK481" s="14"/>
    </row>
    <row r="482" spans="4:37" ht="14.25" customHeight="1" x14ac:dyDescent="0.35">
      <c r="D482"/>
      <c r="H482" s="8"/>
      <c r="J482"/>
      <c r="K482"/>
      <c r="L482"/>
      <c r="Q482" s="1"/>
      <c r="Y482" s="4"/>
      <c r="AJ482"/>
      <c r="AK482" s="14"/>
    </row>
    <row r="483" spans="4:37" ht="14.25" customHeight="1" x14ac:dyDescent="0.35">
      <c r="D483"/>
      <c r="H483" s="8"/>
      <c r="J483"/>
      <c r="K483"/>
      <c r="L483"/>
      <c r="Q483" s="1"/>
      <c r="Y483" s="4"/>
      <c r="AJ483"/>
      <c r="AK483" s="14"/>
    </row>
    <row r="484" spans="4:37" ht="14.25" customHeight="1" x14ac:dyDescent="0.35">
      <c r="D484"/>
      <c r="H484" s="8"/>
      <c r="J484"/>
      <c r="K484"/>
      <c r="L484"/>
      <c r="Q484" s="1"/>
      <c r="Y484" s="4"/>
      <c r="AJ484"/>
      <c r="AK484" s="14"/>
    </row>
    <row r="485" spans="4:37" ht="14.25" customHeight="1" x14ac:dyDescent="0.35">
      <c r="D485"/>
      <c r="H485" s="8"/>
      <c r="J485"/>
      <c r="K485"/>
      <c r="L485"/>
      <c r="Q485" s="1"/>
      <c r="Y485" s="4"/>
      <c r="AJ485"/>
      <c r="AK485" s="14"/>
    </row>
    <row r="486" spans="4:37" ht="14.25" customHeight="1" x14ac:dyDescent="0.35">
      <c r="D486"/>
      <c r="H486" s="8"/>
      <c r="J486"/>
      <c r="K486"/>
      <c r="L486"/>
      <c r="Q486" s="1"/>
      <c r="Y486" s="4"/>
      <c r="AJ486"/>
      <c r="AK486" s="14"/>
    </row>
    <row r="487" spans="4:37" ht="14.25" customHeight="1" x14ac:dyDescent="0.35">
      <c r="D487"/>
      <c r="H487" s="8"/>
      <c r="J487"/>
      <c r="K487"/>
      <c r="L487"/>
      <c r="Q487" s="1"/>
      <c r="Y487" s="4"/>
      <c r="AJ487"/>
      <c r="AK487" s="14"/>
    </row>
    <row r="488" spans="4:37" ht="14.25" customHeight="1" x14ac:dyDescent="0.35">
      <c r="D488"/>
      <c r="H488" s="8"/>
      <c r="J488"/>
      <c r="K488"/>
      <c r="L488"/>
      <c r="Q488" s="1"/>
      <c r="Y488" s="4"/>
      <c r="AJ488"/>
      <c r="AK488" s="14"/>
    </row>
    <row r="489" spans="4:37" ht="14.25" customHeight="1" x14ac:dyDescent="0.35">
      <c r="D489"/>
      <c r="H489" s="8"/>
      <c r="J489"/>
      <c r="K489"/>
      <c r="L489"/>
      <c r="Q489" s="1"/>
      <c r="Y489" s="4"/>
      <c r="AJ489"/>
      <c r="AK489" s="14"/>
    </row>
    <row r="490" spans="4:37" ht="14.25" customHeight="1" x14ac:dyDescent="0.35">
      <c r="D490"/>
      <c r="H490" s="8"/>
      <c r="J490"/>
      <c r="K490"/>
      <c r="L490"/>
      <c r="Q490" s="1"/>
      <c r="Y490" s="4"/>
      <c r="AJ490"/>
      <c r="AK490" s="14"/>
    </row>
    <row r="491" spans="4:37" ht="14.25" customHeight="1" x14ac:dyDescent="0.35">
      <c r="D491"/>
      <c r="H491" s="8"/>
      <c r="J491"/>
      <c r="K491"/>
      <c r="L491"/>
      <c r="Q491" s="1"/>
      <c r="Y491" s="4"/>
      <c r="AJ491"/>
      <c r="AK491" s="14"/>
    </row>
    <row r="492" spans="4:37" ht="14.25" customHeight="1" x14ac:dyDescent="0.35">
      <c r="D492"/>
      <c r="H492" s="8"/>
      <c r="J492"/>
      <c r="K492"/>
      <c r="L492"/>
      <c r="Q492" s="1"/>
      <c r="Y492" s="4"/>
      <c r="AJ492"/>
      <c r="AK492" s="14"/>
    </row>
    <row r="493" spans="4:37" ht="14.25" customHeight="1" x14ac:dyDescent="0.35">
      <c r="D493"/>
      <c r="H493" s="8"/>
      <c r="J493"/>
      <c r="K493"/>
      <c r="L493"/>
      <c r="Q493" s="1"/>
      <c r="Y493" s="4"/>
      <c r="AJ493"/>
      <c r="AK493" s="14"/>
    </row>
    <row r="494" spans="4:37" ht="14.25" customHeight="1" x14ac:dyDescent="0.35">
      <c r="D494"/>
      <c r="H494" s="8"/>
      <c r="J494"/>
      <c r="K494"/>
      <c r="L494"/>
      <c r="Q494" s="1"/>
      <c r="Y494" s="4"/>
      <c r="AJ494"/>
      <c r="AK494" s="14"/>
    </row>
    <row r="495" spans="4:37" ht="14.25" customHeight="1" x14ac:dyDescent="0.35">
      <c r="D495"/>
      <c r="H495" s="8"/>
      <c r="J495"/>
      <c r="K495"/>
      <c r="L495"/>
      <c r="Q495" s="1"/>
      <c r="Y495" s="4"/>
      <c r="AJ495"/>
      <c r="AK495" s="14"/>
    </row>
    <row r="496" spans="4:37" ht="14.25" customHeight="1" x14ac:dyDescent="0.35">
      <c r="D496"/>
      <c r="H496" s="8"/>
      <c r="J496"/>
      <c r="K496"/>
      <c r="L496"/>
      <c r="Q496" s="1"/>
      <c r="Y496" s="4"/>
      <c r="AJ496"/>
      <c r="AK496" s="14"/>
    </row>
    <row r="497" spans="4:37" ht="14.25" customHeight="1" x14ac:dyDescent="0.35">
      <c r="D497"/>
      <c r="H497" s="8"/>
      <c r="J497"/>
      <c r="K497"/>
      <c r="L497"/>
      <c r="Q497" s="1"/>
      <c r="Y497" s="4"/>
      <c r="AJ497"/>
      <c r="AK497" s="14"/>
    </row>
    <row r="498" spans="4:37" ht="14.25" customHeight="1" x14ac:dyDescent="0.35">
      <c r="D498"/>
      <c r="H498" s="8"/>
      <c r="J498"/>
      <c r="K498"/>
      <c r="L498"/>
      <c r="Q498" s="1"/>
      <c r="Y498" s="4"/>
      <c r="AJ498"/>
      <c r="AK498" s="14"/>
    </row>
    <row r="499" spans="4:37" ht="14.25" customHeight="1" x14ac:dyDescent="0.35">
      <c r="D499"/>
      <c r="H499" s="8"/>
      <c r="J499"/>
      <c r="K499"/>
      <c r="L499"/>
      <c r="Q499" s="1"/>
      <c r="Y499" s="4"/>
      <c r="AJ499"/>
      <c r="AK499" s="14"/>
    </row>
    <row r="500" spans="4:37" ht="14.25" customHeight="1" x14ac:dyDescent="0.35">
      <c r="D500"/>
      <c r="H500" s="8"/>
      <c r="J500"/>
      <c r="K500"/>
      <c r="L500"/>
      <c r="Q500" s="1"/>
      <c r="Y500" s="4"/>
      <c r="AJ500"/>
      <c r="AK500" s="14"/>
    </row>
    <row r="501" spans="4:37" ht="14.25" customHeight="1" x14ac:dyDescent="0.35">
      <c r="D501"/>
      <c r="H501" s="8"/>
      <c r="J501"/>
      <c r="K501"/>
      <c r="L501"/>
      <c r="Q501" s="1"/>
      <c r="Y501" s="4"/>
      <c r="AJ501"/>
      <c r="AK501" s="14"/>
    </row>
    <row r="502" spans="4:37" ht="14.25" customHeight="1" x14ac:dyDescent="0.35">
      <c r="D502"/>
      <c r="H502" s="8"/>
      <c r="J502"/>
      <c r="K502"/>
      <c r="L502"/>
      <c r="Q502" s="1"/>
      <c r="Y502" s="4"/>
      <c r="AJ502"/>
      <c r="AK502" s="14"/>
    </row>
    <row r="503" spans="4:37" ht="14.25" customHeight="1" x14ac:dyDescent="0.35">
      <c r="D503"/>
      <c r="H503" s="8"/>
      <c r="J503"/>
      <c r="K503"/>
      <c r="L503"/>
      <c r="Q503" s="1"/>
      <c r="Y503" s="4"/>
      <c r="AJ503"/>
      <c r="AK503" s="14"/>
    </row>
    <row r="504" spans="4:37" ht="14.25" customHeight="1" x14ac:dyDescent="0.35">
      <c r="D504"/>
      <c r="H504" s="8"/>
      <c r="J504"/>
      <c r="K504"/>
      <c r="L504"/>
      <c r="Q504" s="1"/>
      <c r="Y504" s="4"/>
      <c r="AJ504"/>
      <c r="AK504" s="14"/>
    </row>
    <row r="505" spans="4:37" ht="14.25" customHeight="1" x14ac:dyDescent="0.35">
      <c r="D505"/>
      <c r="H505" s="8"/>
      <c r="J505"/>
      <c r="K505"/>
      <c r="L505"/>
      <c r="Q505" s="1"/>
      <c r="Y505" s="4"/>
      <c r="AJ505"/>
      <c r="AK505" s="14"/>
    </row>
    <row r="506" spans="4:37" ht="14.25" customHeight="1" x14ac:dyDescent="0.35">
      <c r="D506"/>
      <c r="H506" s="8"/>
      <c r="J506"/>
      <c r="K506"/>
      <c r="L506"/>
      <c r="Q506" s="1"/>
      <c r="Y506" s="4"/>
      <c r="AJ506"/>
      <c r="AK506" s="14"/>
    </row>
    <row r="507" spans="4:37" ht="14.25" customHeight="1" x14ac:dyDescent="0.35">
      <c r="D507"/>
      <c r="H507" s="8"/>
      <c r="J507"/>
      <c r="K507"/>
      <c r="L507"/>
      <c r="Q507" s="1"/>
      <c r="Y507" s="4"/>
      <c r="AJ507"/>
      <c r="AK507" s="14"/>
    </row>
    <row r="508" spans="4:37" ht="14.25" customHeight="1" x14ac:dyDescent="0.35">
      <c r="D508"/>
      <c r="H508" s="8"/>
      <c r="J508"/>
      <c r="K508"/>
      <c r="L508"/>
      <c r="Q508" s="1"/>
      <c r="Y508" s="4"/>
      <c r="AJ508"/>
      <c r="AK508" s="14"/>
    </row>
    <row r="509" spans="4:37" ht="14.25" customHeight="1" x14ac:dyDescent="0.35">
      <c r="D509"/>
      <c r="H509" s="8"/>
      <c r="J509"/>
      <c r="K509"/>
      <c r="L509"/>
      <c r="Q509" s="1"/>
      <c r="Y509" s="4"/>
      <c r="AJ509"/>
      <c r="AK509" s="14"/>
    </row>
    <row r="510" spans="4:37" ht="14.25" customHeight="1" x14ac:dyDescent="0.35">
      <c r="D510"/>
      <c r="H510" s="8"/>
      <c r="J510"/>
      <c r="K510"/>
      <c r="L510"/>
      <c r="Q510" s="1"/>
      <c r="Y510" s="4"/>
      <c r="AJ510"/>
      <c r="AK510" s="14"/>
    </row>
    <row r="511" spans="4:37" ht="14.25" customHeight="1" x14ac:dyDescent="0.35">
      <c r="D511"/>
      <c r="H511" s="8"/>
      <c r="J511"/>
      <c r="K511"/>
      <c r="L511"/>
      <c r="Q511" s="1"/>
      <c r="Y511" s="4"/>
      <c r="AJ511"/>
      <c r="AK511" s="14"/>
    </row>
    <row r="512" spans="4:37" ht="14.25" customHeight="1" x14ac:dyDescent="0.35">
      <c r="D512"/>
      <c r="H512" s="8"/>
      <c r="J512"/>
      <c r="K512"/>
      <c r="L512"/>
      <c r="Q512" s="1"/>
      <c r="Y512" s="4"/>
      <c r="AJ512"/>
      <c r="AK512" s="14"/>
    </row>
    <row r="513" spans="4:37" ht="14.25" customHeight="1" x14ac:dyDescent="0.35">
      <c r="D513"/>
      <c r="H513" s="8"/>
      <c r="J513"/>
      <c r="K513"/>
      <c r="L513"/>
      <c r="Q513" s="1"/>
      <c r="Y513" s="4"/>
      <c r="AJ513"/>
      <c r="AK513" s="14"/>
    </row>
    <row r="514" spans="4:37" ht="14.25" customHeight="1" x14ac:dyDescent="0.35">
      <c r="D514"/>
      <c r="H514" s="8"/>
      <c r="J514"/>
      <c r="K514"/>
      <c r="L514"/>
      <c r="Q514" s="1"/>
      <c r="Y514" s="4"/>
      <c r="AJ514"/>
      <c r="AK514" s="14"/>
    </row>
    <row r="515" spans="4:37" ht="14.25" customHeight="1" x14ac:dyDescent="0.35">
      <c r="D515"/>
      <c r="H515" s="8"/>
      <c r="J515"/>
      <c r="K515"/>
      <c r="L515"/>
      <c r="Q515" s="1"/>
      <c r="Y515" s="4"/>
      <c r="AJ515"/>
      <c r="AK515" s="14"/>
    </row>
    <row r="516" spans="4:37" ht="14.25" customHeight="1" x14ac:dyDescent="0.35">
      <c r="D516"/>
      <c r="H516" s="8"/>
      <c r="J516"/>
      <c r="K516"/>
      <c r="L516"/>
      <c r="Q516" s="1"/>
      <c r="Y516" s="4"/>
      <c r="AJ516"/>
      <c r="AK516" s="14"/>
    </row>
    <row r="517" spans="4:37" ht="14.25" customHeight="1" x14ac:dyDescent="0.35">
      <c r="D517"/>
      <c r="H517" s="8"/>
      <c r="J517"/>
      <c r="K517"/>
      <c r="L517"/>
      <c r="Q517" s="1"/>
      <c r="Y517" s="4"/>
      <c r="AJ517"/>
      <c r="AK517" s="14"/>
    </row>
    <row r="518" spans="4:37" ht="14.25" customHeight="1" x14ac:dyDescent="0.35">
      <c r="D518"/>
      <c r="H518" s="8"/>
      <c r="J518"/>
      <c r="K518"/>
      <c r="L518"/>
      <c r="Q518" s="1"/>
      <c r="Y518" s="4"/>
      <c r="AJ518"/>
      <c r="AK518" s="14"/>
    </row>
    <row r="519" spans="4:37" ht="14.25" customHeight="1" x14ac:dyDescent="0.35">
      <c r="D519"/>
      <c r="H519" s="8"/>
      <c r="J519"/>
      <c r="K519"/>
      <c r="L519"/>
      <c r="Q519" s="1"/>
      <c r="Y519" s="4"/>
      <c r="AJ519"/>
      <c r="AK519" s="14"/>
    </row>
    <row r="520" spans="4:37" ht="14.25" customHeight="1" x14ac:dyDescent="0.35">
      <c r="D520"/>
      <c r="H520" s="8"/>
      <c r="J520"/>
      <c r="K520"/>
      <c r="L520"/>
      <c r="Q520" s="1"/>
      <c r="Y520" s="4"/>
      <c r="AJ520"/>
      <c r="AK520" s="14"/>
    </row>
    <row r="521" spans="4:37" ht="14.25" customHeight="1" x14ac:dyDescent="0.35">
      <c r="D521"/>
      <c r="H521" s="8"/>
      <c r="J521"/>
      <c r="K521"/>
      <c r="L521"/>
      <c r="Q521" s="1"/>
      <c r="Y521" s="4"/>
      <c r="AJ521"/>
      <c r="AK521" s="14"/>
    </row>
    <row r="522" spans="4:37" ht="14.25" customHeight="1" x14ac:dyDescent="0.35">
      <c r="D522"/>
      <c r="H522" s="8"/>
      <c r="J522"/>
      <c r="K522"/>
      <c r="L522"/>
      <c r="Q522" s="1"/>
      <c r="Y522" s="4"/>
      <c r="AJ522"/>
      <c r="AK522" s="14"/>
    </row>
    <row r="523" spans="4:37" ht="14.25" customHeight="1" x14ac:dyDescent="0.35">
      <c r="D523"/>
      <c r="H523" s="8"/>
      <c r="J523"/>
      <c r="K523"/>
      <c r="L523"/>
      <c r="Q523" s="1"/>
      <c r="Y523" s="4"/>
      <c r="AJ523"/>
      <c r="AK523" s="14"/>
    </row>
    <row r="524" spans="4:37" ht="14.25" customHeight="1" x14ac:dyDescent="0.35">
      <c r="D524"/>
      <c r="H524" s="8"/>
      <c r="J524"/>
      <c r="K524"/>
      <c r="L524"/>
      <c r="Q524" s="1"/>
      <c r="Y524" s="4"/>
      <c r="AJ524"/>
      <c r="AK524" s="14"/>
    </row>
    <row r="525" spans="4:37" ht="14.25" customHeight="1" x14ac:dyDescent="0.35">
      <c r="D525"/>
      <c r="H525" s="8"/>
      <c r="J525"/>
      <c r="K525"/>
      <c r="L525"/>
      <c r="Q525" s="1"/>
      <c r="Y525" s="4"/>
      <c r="AJ525"/>
      <c r="AK525" s="14"/>
    </row>
    <row r="526" spans="4:37" ht="14.25" customHeight="1" x14ac:dyDescent="0.35">
      <c r="D526"/>
      <c r="H526" s="8"/>
      <c r="J526"/>
      <c r="K526"/>
      <c r="L526"/>
      <c r="Q526" s="1"/>
      <c r="Y526" s="4"/>
      <c r="AJ526"/>
      <c r="AK526" s="14"/>
    </row>
    <row r="527" spans="4:37" ht="14.25" customHeight="1" x14ac:dyDescent="0.35">
      <c r="D527"/>
      <c r="H527" s="8"/>
      <c r="J527"/>
      <c r="K527"/>
      <c r="L527"/>
      <c r="Q527" s="1"/>
      <c r="Y527" s="4"/>
      <c r="AJ527"/>
      <c r="AK527" s="14"/>
    </row>
    <row r="528" spans="4:37" ht="14.25" customHeight="1" x14ac:dyDescent="0.35">
      <c r="D528"/>
      <c r="H528" s="8"/>
      <c r="J528"/>
      <c r="K528"/>
      <c r="L528"/>
      <c r="Q528" s="1"/>
      <c r="Y528" s="4"/>
      <c r="AJ528"/>
      <c r="AK528" s="14"/>
    </row>
    <row r="529" spans="4:37" ht="14.25" customHeight="1" x14ac:dyDescent="0.35">
      <c r="D529"/>
      <c r="H529" s="8"/>
      <c r="J529"/>
      <c r="K529"/>
      <c r="L529"/>
      <c r="Q529" s="1"/>
      <c r="Y529" s="4"/>
      <c r="AJ529"/>
      <c r="AK529" s="14"/>
    </row>
    <row r="530" spans="4:37" ht="14.25" customHeight="1" x14ac:dyDescent="0.35">
      <c r="D530"/>
      <c r="H530" s="8"/>
      <c r="J530"/>
      <c r="K530"/>
      <c r="L530"/>
      <c r="Q530" s="1"/>
      <c r="Y530" s="4"/>
      <c r="AJ530"/>
      <c r="AK530" s="14"/>
    </row>
    <row r="531" spans="4:37" ht="14.25" customHeight="1" x14ac:dyDescent="0.35">
      <c r="D531"/>
      <c r="H531" s="8"/>
      <c r="J531"/>
      <c r="K531"/>
      <c r="L531"/>
      <c r="Q531" s="1"/>
      <c r="Y531" s="4"/>
      <c r="AJ531"/>
      <c r="AK531" s="14"/>
    </row>
    <row r="532" spans="4:37" ht="14.25" customHeight="1" x14ac:dyDescent="0.35">
      <c r="D532"/>
      <c r="H532" s="8"/>
      <c r="J532"/>
      <c r="K532"/>
      <c r="L532"/>
      <c r="Q532" s="1"/>
      <c r="Y532" s="4"/>
      <c r="AJ532"/>
      <c r="AK532" s="14"/>
    </row>
    <row r="533" spans="4:37" ht="14.25" customHeight="1" x14ac:dyDescent="0.35">
      <c r="D533"/>
      <c r="H533" s="8"/>
      <c r="J533"/>
      <c r="K533"/>
      <c r="L533"/>
      <c r="Q533" s="1"/>
      <c r="Y533" s="4"/>
      <c r="AJ533"/>
      <c r="AK533" s="14"/>
    </row>
    <row r="534" spans="4:37" ht="14.25" customHeight="1" x14ac:dyDescent="0.35">
      <c r="D534"/>
      <c r="H534" s="8"/>
      <c r="J534"/>
      <c r="K534"/>
      <c r="L534"/>
      <c r="Q534" s="1"/>
      <c r="Y534" s="4"/>
      <c r="AJ534"/>
      <c r="AK534" s="14"/>
    </row>
    <row r="535" spans="4:37" ht="14.25" customHeight="1" x14ac:dyDescent="0.35">
      <c r="D535"/>
      <c r="H535" s="8"/>
      <c r="J535"/>
      <c r="K535"/>
      <c r="L535"/>
      <c r="Q535" s="1"/>
      <c r="Y535" s="4"/>
      <c r="AJ535"/>
      <c r="AK535" s="14"/>
    </row>
    <row r="536" spans="4:37" ht="14.25" customHeight="1" x14ac:dyDescent="0.35">
      <c r="D536"/>
      <c r="H536" s="8"/>
      <c r="J536"/>
      <c r="K536"/>
      <c r="L536"/>
      <c r="Q536" s="1"/>
      <c r="Y536" s="4"/>
      <c r="AJ536"/>
      <c r="AK536" s="14"/>
    </row>
    <row r="537" spans="4:37" ht="14.25" customHeight="1" x14ac:dyDescent="0.35">
      <c r="D537"/>
      <c r="H537" s="8"/>
      <c r="J537"/>
      <c r="K537"/>
      <c r="L537"/>
      <c r="Q537" s="1"/>
      <c r="Y537" s="4"/>
      <c r="AJ537"/>
      <c r="AK537" s="14"/>
    </row>
    <row r="538" spans="4:37" ht="14.25" customHeight="1" x14ac:dyDescent="0.35">
      <c r="D538"/>
      <c r="H538" s="8"/>
      <c r="J538"/>
      <c r="K538"/>
      <c r="L538"/>
      <c r="Q538" s="1"/>
      <c r="Y538" s="4"/>
      <c r="AJ538"/>
      <c r="AK538" s="14"/>
    </row>
    <row r="539" spans="4:37" ht="14.25" customHeight="1" x14ac:dyDescent="0.35">
      <c r="D539"/>
      <c r="H539" s="8"/>
      <c r="J539"/>
      <c r="K539"/>
      <c r="L539"/>
      <c r="Q539" s="1"/>
      <c r="Y539" s="4"/>
      <c r="AJ539"/>
      <c r="AK539" s="14"/>
    </row>
    <row r="540" spans="4:37" ht="14.25" customHeight="1" x14ac:dyDescent="0.35">
      <c r="D540"/>
      <c r="H540" s="8"/>
      <c r="J540"/>
      <c r="K540"/>
      <c r="L540"/>
      <c r="Q540" s="1"/>
      <c r="Y540" s="4"/>
      <c r="AJ540"/>
      <c r="AK540" s="14"/>
    </row>
    <row r="541" spans="4:37" ht="14.25" customHeight="1" x14ac:dyDescent="0.35">
      <c r="D541"/>
      <c r="H541" s="8"/>
      <c r="J541"/>
      <c r="K541"/>
      <c r="L541"/>
      <c r="Q541" s="1"/>
      <c r="Y541" s="4"/>
      <c r="AJ541"/>
      <c r="AK541" s="14"/>
    </row>
    <row r="542" spans="4:37" ht="14.25" customHeight="1" x14ac:dyDescent="0.35">
      <c r="D542"/>
      <c r="H542" s="8"/>
      <c r="J542"/>
      <c r="K542"/>
      <c r="L542"/>
      <c r="Q542" s="1"/>
      <c r="Y542" s="4"/>
      <c r="AJ542"/>
      <c r="AK542" s="14"/>
    </row>
    <row r="543" spans="4:37" ht="14.25" customHeight="1" x14ac:dyDescent="0.35">
      <c r="D543"/>
      <c r="H543" s="8"/>
      <c r="J543"/>
      <c r="K543"/>
      <c r="L543"/>
      <c r="Q543" s="1"/>
      <c r="Y543" s="4"/>
      <c r="AJ543"/>
      <c r="AK543" s="14"/>
    </row>
    <row r="544" spans="4:37" ht="14.25" customHeight="1" x14ac:dyDescent="0.35">
      <c r="D544"/>
      <c r="H544" s="8"/>
      <c r="J544"/>
      <c r="K544"/>
      <c r="L544"/>
      <c r="Q544" s="1"/>
      <c r="Y544" s="4"/>
      <c r="AJ544"/>
      <c r="AK544" s="14"/>
    </row>
    <row r="545" spans="4:37" ht="14.25" customHeight="1" x14ac:dyDescent="0.35">
      <c r="D545"/>
      <c r="H545" s="8"/>
      <c r="J545"/>
      <c r="K545"/>
      <c r="L545"/>
      <c r="Q545" s="1"/>
      <c r="Y545" s="4"/>
      <c r="AJ545"/>
      <c r="AK545" s="14"/>
    </row>
    <row r="546" spans="4:37" ht="14.25" customHeight="1" x14ac:dyDescent="0.35">
      <c r="D546"/>
      <c r="H546" s="8"/>
      <c r="J546"/>
      <c r="K546"/>
      <c r="L546"/>
      <c r="Q546" s="1"/>
      <c r="Y546" s="4"/>
      <c r="AJ546"/>
      <c r="AK546" s="14"/>
    </row>
    <row r="547" spans="4:37" ht="14.25" customHeight="1" x14ac:dyDescent="0.35">
      <c r="D547"/>
      <c r="H547" s="8"/>
      <c r="J547"/>
      <c r="K547"/>
      <c r="L547"/>
      <c r="Q547" s="1"/>
      <c r="Y547" s="4"/>
      <c r="AJ547"/>
      <c r="AK547" s="14"/>
    </row>
    <row r="548" spans="4:37" ht="14.25" customHeight="1" x14ac:dyDescent="0.35">
      <c r="D548"/>
      <c r="H548" s="8"/>
      <c r="J548"/>
      <c r="K548"/>
      <c r="L548"/>
      <c r="Q548" s="1"/>
      <c r="Y548" s="4"/>
      <c r="AJ548"/>
      <c r="AK548" s="14"/>
    </row>
    <row r="549" spans="4:37" ht="14.25" customHeight="1" x14ac:dyDescent="0.35">
      <c r="D549"/>
      <c r="H549" s="8"/>
      <c r="J549"/>
      <c r="K549"/>
      <c r="L549"/>
      <c r="Q549" s="1"/>
      <c r="Y549" s="4"/>
      <c r="AJ549"/>
      <c r="AK549" s="14"/>
    </row>
    <row r="550" spans="4:37" ht="14.25" customHeight="1" x14ac:dyDescent="0.35">
      <c r="D550"/>
      <c r="H550" s="8"/>
      <c r="J550"/>
      <c r="K550"/>
      <c r="L550"/>
      <c r="Q550" s="1"/>
      <c r="Y550" s="4"/>
      <c r="AJ550"/>
      <c r="AK550" s="14"/>
    </row>
    <row r="551" spans="4:37" ht="14.25" customHeight="1" x14ac:dyDescent="0.35">
      <c r="D551"/>
      <c r="H551" s="8"/>
      <c r="J551"/>
      <c r="K551"/>
      <c r="L551"/>
      <c r="Q551" s="1"/>
      <c r="Y551" s="4"/>
      <c r="AJ551"/>
      <c r="AK551" s="14"/>
    </row>
    <row r="552" spans="4:37" ht="14.25" customHeight="1" x14ac:dyDescent="0.35">
      <c r="D552"/>
      <c r="H552" s="8"/>
      <c r="J552"/>
      <c r="K552"/>
      <c r="L552"/>
      <c r="Q552" s="1"/>
      <c r="Y552" s="4"/>
      <c r="AJ552"/>
      <c r="AK552" s="14"/>
    </row>
    <row r="553" spans="4:37" ht="14.25" customHeight="1" x14ac:dyDescent="0.35">
      <c r="D553"/>
      <c r="H553" s="8"/>
      <c r="J553"/>
      <c r="K553"/>
      <c r="L553"/>
      <c r="Q553" s="1"/>
      <c r="Y553" s="4"/>
      <c r="AJ553"/>
      <c r="AK553" s="14"/>
    </row>
    <row r="554" spans="4:37" ht="14.25" customHeight="1" x14ac:dyDescent="0.35">
      <c r="D554"/>
      <c r="H554" s="8"/>
      <c r="J554"/>
      <c r="K554"/>
      <c r="L554"/>
      <c r="Q554" s="1"/>
      <c r="Y554" s="4"/>
      <c r="AJ554"/>
      <c r="AK554" s="14"/>
    </row>
    <row r="555" spans="4:37" ht="14.25" customHeight="1" x14ac:dyDescent="0.35">
      <c r="D555"/>
      <c r="H555" s="8"/>
      <c r="J555"/>
      <c r="K555"/>
      <c r="L555"/>
      <c r="Q555" s="1"/>
      <c r="Y555" s="4"/>
      <c r="AJ555"/>
      <c r="AK555" s="14"/>
    </row>
    <row r="556" spans="4:37" ht="14.25" customHeight="1" x14ac:dyDescent="0.35">
      <c r="D556"/>
      <c r="H556" s="8"/>
      <c r="J556"/>
      <c r="K556"/>
      <c r="L556"/>
      <c r="Q556" s="1"/>
      <c r="Y556" s="4"/>
      <c r="AJ556"/>
      <c r="AK556" s="14"/>
    </row>
    <row r="557" spans="4:37" ht="14.25" customHeight="1" x14ac:dyDescent="0.35">
      <c r="D557"/>
      <c r="H557" s="8"/>
      <c r="J557"/>
      <c r="K557"/>
      <c r="L557"/>
      <c r="Q557" s="1"/>
      <c r="Y557" s="4"/>
      <c r="AJ557"/>
      <c r="AK557" s="14"/>
    </row>
    <row r="558" spans="4:37" ht="14.25" customHeight="1" x14ac:dyDescent="0.35">
      <c r="D558"/>
      <c r="H558" s="8"/>
      <c r="J558"/>
      <c r="K558"/>
      <c r="L558"/>
      <c r="Q558" s="1"/>
      <c r="Y558" s="4"/>
      <c r="AJ558"/>
      <c r="AK558" s="14"/>
    </row>
    <row r="559" spans="4:37" ht="14.25" customHeight="1" x14ac:dyDescent="0.35">
      <c r="D559"/>
      <c r="H559" s="8"/>
      <c r="J559"/>
      <c r="K559"/>
      <c r="L559"/>
      <c r="Q559" s="1"/>
      <c r="Y559" s="4"/>
      <c r="AJ559"/>
      <c r="AK559" s="14"/>
    </row>
    <row r="560" spans="4:37" ht="14.25" customHeight="1" x14ac:dyDescent="0.35">
      <c r="D560"/>
      <c r="H560" s="8"/>
      <c r="J560"/>
      <c r="K560"/>
      <c r="L560"/>
      <c r="Q560" s="1"/>
      <c r="Y560" s="4"/>
      <c r="AJ560"/>
      <c r="AK560" s="14"/>
    </row>
    <row r="561" spans="4:37" ht="14.25" customHeight="1" x14ac:dyDescent="0.35">
      <c r="D561"/>
      <c r="H561" s="8"/>
      <c r="J561"/>
      <c r="K561"/>
      <c r="L561"/>
      <c r="Q561" s="1"/>
      <c r="Y561" s="4"/>
      <c r="AJ561"/>
      <c r="AK561" s="14"/>
    </row>
    <row r="562" spans="4:37" ht="14.25" customHeight="1" x14ac:dyDescent="0.35">
      <c r="D562"/>
      <c r="H562" s="8"/>
      <c r="J562"/>
      <c r="K562"/>
      <c r="L562"/>
      <c r="Q562" s="1"/>
      <c r="Y562" s="4"/>
      <c r="AJ562"/>
      <c r="AK562" s="14"/>
    </row>
    <row r="563" spans="4:37" ht="14.25" customHeight="1" x14ac:dyDescent="0.35">
      <c r="D563"/>
      <c r="H563" s="8"/>
      <c r="J563"/>
      <c r="K563"/>
      <c r="L563"/>
      <c r="Q563" s="1"/>
      <c r="Y563" s="4"/>
      <c r="AJ563"/>
      <c r="AK563" s="14"/>
    </row>
    <row r="564" spans="4:37" ht="14.25" customHeight="1" x14ac:dyDescent="0.35">
      <c r="D564"/>
      <c r="H564" s="8"/>
      <c r="J564"/>
      <c r="K564"/>
      <c r="L564"/>
      <c r="Q564" s="1"/>
      <c r="Y564" s="4"/>
      <c r="AJ564"/>
      <c r="AK564" s="14"/>
    </row>
    <row r="565" spans="4:37" ht="14.25" customHeight="1" x14ac:dyDescent="0.35">
      <c r="D565"/>
      <c r="H565" s="8"/>
      <c r="J565"/>
      <c r="K565"/>
      <c r="L565"/>
      <c r="Q565" s="1"/>
      <c r="Y565" s="4"/>
      <c r="AJ565"/>
      <c r="AK565" s="14"/>
    </row>
    <row r="566" spans="4:37" ht="14.25" customHeight="1" x14ac:dyDescent="0.35">
      <c r="D566"/>
      <c r="H566" s="8"/>
      <c r="J566"/>
      <c r="K566"/>
      <c r="L566"/>
      <c r="Q566" s="1"/>
      <c r="Y566" s="4"/>
      <c r="AJ566"/>
      <c r="AK566" s="14"/>
    </row>
    <row r="567" spans="4:37" ht="14.25" customHeight="1" x14ac:dyDescent="0.35">
      <c r="D567"/>
      <c r="H567" s="8"/>
      <c r="J567"/>
      <c r="K567"/>
      <c r="L567"/>
      <c r="Q567" s="1"/>
      <c r="Y567" s="4"/>
      <c r="AJ567"/>
      <c r="AK567" s="14"/>
    </row>
    <row r="568" spans="4:37" ht="14.25" customHeight="1" x14ac:dyDescent="0.35">
      <c r="D568"/>
      <c r="H568" s="8"/>
      <c r="J568"/>
      <c r="K568"/>
      <c r="L568"/>
      <c r="Q568" s="1"/>
      <c r="Y568" s="4"/>
      <c r="AJ568"/>
      <c r="AK568" s="14"/>
    </row>
    <row r="569" spans="4:37" ht="14.25" customHeight="1" x14ac:dyDescent="0.35">
      <c r="D569"/>
      <c r="H569" s="8"/>
      <c r="J569"/>
      <c r="K569"/>
      <c r="L569"/>
      <c r="Q569" s="1"/>
      <c r="Y569" s="4"/>
      <c r="AJ569"/>
      <c r="AK569" s="14"/>
    </row>
    <row r="570" spans="4:37" ht="14.25" customHeight="1" x14ac:dyDescent="0.35">
      <c r="D570"/>
      <c r="H570" s="8"/>
      <c r="J570"/>
      <c r="K570"/>
      <c r="L570"/>
      <c r="Q570" s="1"/>
      <c r="Y570" s="4"/>
      <c r="AJ570"/>
      <c r="AK570" s="14"/>
    </row>
    <row r="571" spans="4:37" ht="14.25" customHeight="1" x14ac:dyDescent="0.35">
      <c r="D571"/>
      <c r="H571" s="8"/>
      <c r="J571"/>
      <c r="K571"/>
      <c r="L571"/>
      <c r="Q571" s="1"/>
      <c r="Y571" s="4"/>
      <c r="AJ571"/>
      <c r="AK571" s="14"/>
    </row>
    <row r="572" spans="4:37" ht="14.25" customHeight="1" x14ac:dyDescent="0.35">
      <c r="D572"/>
      <c r="H572" s="8"/>
      <c r="J572"/>
      <c r="K572"/>
      <c r="L572"/>
      <c r="Q572" s="1"/>
      <c r="Y572" s="4"/>
      <c r="AJ572"/>
      <c r="AK572" s="14"/>
    </row>
    <row r="573" spans="4:37" ht="14.25" customHeight="1" x14ac:dyDescent="0.35">
      <c r="D573"/>
      <c r="H573" s="8"/>
      <c r="J573"/>
      <c r="K573"/>
      <c r="L573"/>
      <c r="Q573" s="1"/>
      <c r="Y573" s="4"/>
      <c r="AJ573"/>
      <c r="AK573" s="14"/>
    </row>
    <row r="574" spans="4:37" ht="14.25" customHeight="1" x14ac:dyDescent="0.35">
      <c r="D574"/>
      <c r="H574" s="8"/>
      <c r="J574"/>
      <c r="K574"/>
      <c r="L574"/>
      <c r="Q574" s="1"/>
      <c r="Y574" s="4"/>
      <c r="AJ574"/>
      <c r="AK574" s="14"/>
    </row>
    <row r="575" spans="4:37" ht="14.25" customHeight="1" x14ac:dyDescent="0.35">
      <c r="D575"/>
      <c r="H575" s="8"/>
      <c r="J575"/>
      <c r="K575"/>
      <c r="L575"/>
      <c r="Q575" s="1"/>
      <c r="Y575" s="4"/>
      <c r="AJ575"/>
      <c r="AK575" s="14"/>
    </row>
    <row r="576" spans="4:37" ht="14.25" customHeight="1" x14ac:dyDescent="0.35">
      <c r="D576"/>
      <c r="H576" s="8"/>
      <c r="J576"/>
      <c r="K576"/>
      <c r="L576"/>
      <c r="Q576" s="1"/>
      <c r="Y576" s="4"/>
      <c r="AJ576"/>
      <c r="AK576" s="14"/>
    </row>
    <row r="577" spans="4:37" ht="14.25" customHeight="1" x14ac:dyDescent="0.35">
      <c r="D577"/>
      <c r="H577" s="8"/>
      <c r="J577"/>
      <c r="K577"/>
      <c r="L577"/>
      <c r="Q577" s="1"/>
      <c r="Y577" s="4"/>
      <c r="AJ577"/>
      <c r="AK577" s="14"/>
    </row>
    <row r="578" spans="4:37" ht="14.25" customHeight="1" x14ac:dyDescent="0.35">
      <c r="D578"/>
      <c r="H578" s="8"/>
      <c r="J578"/>
      <c r="K578"/>
      <c r="L578"/>
      <c r="Q578" s="1"/>
      <c r="Y578" s="4"/>
      <c r="AJ578"/>
      <c r="AK578" s="14"/>
    </row>
    <row r="579" spans="4:37" ht="14.25" customHeight="1" x14ac:dyDescent="0.35">
      <c r="D579"/>
      <c r="H579" s="8"/>
      <c r="J579"/>
      <c r="K579"/>
      <c r="L579"/>
      <c r="Q579" s="1"/>
      <c r="Y579" s="4"/>
      <c r="AJ579"/>
      <c r="AK579" s="14"/>
    </row>
    <row r="580" spans="4:37" ht="14.25" customHeight="1" x14ac:dyDescent="0.35">
      <c r="D580"/>
      <c r="H580" s="8"/>
      <c r="J580"/>
      <c r="K580"/>
      <c r="L580"/>
      <c r="Q580" s="1"/>
      <c r="Y580" s="4"/>
      <c r="AJ580"/>
      <c r="AK580" s="14"/>
    </row>
    <row r="581" spans="4:37" ht="14.25" customHeight="1" x14ac:dyDescent="0.35">
      <c r="D581"/>
      <c r="H581" s="8"/>
      <c r="J581"/>
      <c r="K581"/>
      <c r="L581"/>
      <c r="Q581" s="1"/>
      <c r="Y581" s="4"/>
      <c r="AJ581"/>
      <c r="AK581" s="14"/>
    </row>
    <row r="582" spans="4:37" ht="14.25" customHeight="1" x14ac:dyDescent="0.35">
      <c r="D582"/>
      <c r="H582" s="8"/>
      <c r="J582"/>
      <c r="K582"/>
      <c r="L582"/>
      <c r="Q582" s="1"/>
      <c r="Y582" s="4"/>
      <c r="AJ582"/>
      <c r="AK582" s="14"/>
    </row>
    <row r="583" spans="4:37" ht="14.25" customHeight="1" x14ac:dyDescent="0.35">
      <c r="D583"/>
      <c r="H583" s="8"/>
      <c r="J583"/>
      <c r="K583"/>
      <c r="L583"/>
      <c r="Q583" s="1"/>
      <c r="Y583" s="4"/>
      <c r="AJ583"/>
      <c r="AK583" s="14"/>
    </row>
    <row r="584" spans="4:37" ht="14.25" customHeight="1" x14ac:dyDescent="0.35">
      <c r="D584"/>
      <c r="H584" s="8"/>
      <c r="J584"/>
      <c r="K584"/>
      <c r="L584"/>
      <c r="Q584" s="1"/>
      <c r="Y584" s="4"/>
      <c r="AJ584"/>
      <c r="AK584" s="14"/>
    </row>
    <row r="585" spans="4:37" ht="14.25" customHeight="1" x14ac:dyDescent="0.35">
      <c r="D585"/>
      <c r="H585" s="8"/>
      <c r="J585"/>
      <c r="K585"/>
      <c r="L585"/>
      <c r="Q585" s="1"/>
      <c r="Y585" s="4"/>
      <c r="AJ585"/>
      <c r="AK585" s="14"/>
    </row>
    <row r="586" spans="4:37" ht="14.25" customHeight="1" x14ac:dyDescent="0.35">
      <c r="D586"/>
      <c r="H586" s="8"/>
      <c r="J586"/>
      <c r="K586"/>
      <c r="L586"/>
      <c r="Q586" s="1"/>
      <c r="Y586" s="4"/>
      <c r="AJ586"/>
      <c r="AK586" s="14"/>
    </row>
    <row r="587" spans="4:37" ht="14.25" customHeight="1" x14ac:dyDescent="0.35">
      <c r="D587"/>
      <c r="H587" s="8"/>
      <c r="J587"/>
      <c r="K587"/>
      <c r="L587"/>
      <c r="Q587" s="1"/>
      <c r="Y587" s="4"/>
      <c r="AJ587"/>
      <c r="AK587" s="14"/>
    </row>
    <row r="588" spans="4:37" ht="14.25" customHeight="1" x14ac:dyDescent="0.35">
      <c r="D588"/>
      <c r="H588" s="8"/>
      <c r="J588"/>
      <c r="K588"/>
      <c r="L588"/>
      <c r="Q588" s="1"/>
      <c r="Y588" s="4"/>
      <c r="AJ588"/>
      <c r="AK588" s="14"/>
    </row>
    <row r="589" spans="4:37" ht="14.25" customHeight="1" x14ac:dyDescent="0.35">
      <c r="D589"/>
      <c r="H589" s="8"/>
      <c r="J589"/>
      <c r="K589"/>
      <c r="L589"/>
      <c r="Q589" s="1"/>
      <c r="Y589" s="4"/>
      <c r="AJ589"/>
      <c r="AK589" s="14"/>
    </row>
    <row r="590" spans="4:37" ht="14.25" customHeight="1" x14ac:dyDescent="0.35">
      <c r="D590"/>
      <c r="H590" s="8"/>
      <c r="J590"/>
      <c r="K590"/>
      <c r="L590"/>
      <c r="Q590" s="1"/>
      <c r="Y590" s="4"/>
      <c r="AJ590"/>
      <c r="AK590" s="14"/>
    </row>
    <row r="591" spans="4:37" ht="14.25" customHeight="1" x14ac:dyDescent="0.35">
      <c r="D591"/>
      <c r="H591" s="8"/>
      <c r="J591"/>
      <c r="K591"/>
      <c r="L591"/>
      <c r="Q591" s="1"/>
      <c r="Y591" s="4"/>
      <c r="AJ591"/>
      <c r="AK591" s="14"/>
    </row>
    <row r="592" spans="4:37" ht="14.25" customHeight="1" x14ac:dyDescent="0.35">
      <c r="D592"/>
      <c r="H592" s="8"/>
      <c r="J592"/>
      <c r="K592"/>
      <c r="L592"/>
      <c r="Q592" s="1"/>
      <c r="Y592" s="4"/>
      <c r="AJ592"/>
      <c r="AK592" s="14"/>
    </row>
    <row r="593" spans="4:37" ht="14.25" customHeight="1" x14ac:dyDescent="0.35">
      <c r="D593"/>
      <c r="H593" s="8"/>
      <c r="J593"/>
      <c r="K593"/>
      <c r="L593"/>
      <c r="Q593" s="1"/>
      <c r="Y593" s="4"/>
      <c r="AJ593"/>
      <c r="AK593" s="14"/>
    </row>
    <row r="594" spans="4:37" ht="14.25" customHeight="1" x14ac:dyDescent="0.35">
      <c r="D594"/>
      <c r="H594" s="8"/>
      <c r="J594"/>
      <c r="K594"/>
      <c r="L594"/>
      <c r="Q594" s="1"/>
      <c r="Y594" s="4"/>
      <c r="AJ594"/>
      <c r="AK594" s="14"/>
    </row>
    <row r="595" spans="4:37" ht="14.25" customHeight="1" x14ac:dyDescent="0.35">
      <c r="D595"/>
      <c r="H595" s="8"/>
      <c r="J595"/>
      <c r="K595"/>
      <c r="L595"/>
      <c r="Q595" s="1"/>
      <c r="Y595" s="4"/>
      <c r="AJ595"/>
      <c r="AK595" s="14"/>
    </row>
    <row r="596" spans="4:37" ht="14.25" customHeight="1" x14ac:dyDescent="0.35">
      <c r="D596"/>
      <c r="H596" s="8"/>
      <c r="J596"/>
      <c r="K596"/>
      <c r="L596"/>
      <c r="Q596" s="1"/>
      <c r="Y596" s="4"/>
      <c r="AJ596"/>
      <c r="AK596" s="14"/>
    </row>
    <row r="597" spans="4:37" ht="14.25" customHeight="1" x14ac:dyDescent="0.35">
      <c r="D597"/>
      <c r="H597" s="8"/>
      <c r="J597"/>
      <c r="K597"/>
      <c r="L597"/>
      <c r="Q597" s="1"/>
      <c r="Y597" s="4"/>
      <c r="AJ597"/>
      <c r="AK597" s="14"/>
    </row>
    <row r="598" spans="4:37" ht="14.25" customHeight="1" x14ac:dyDescent="0.35">
      <c r="D598"/>
      <c r="H598" s="8"/>
      <c r="J598"/>
      <c r="K598"/>
      <c r="L598"/>
      <c r="Q598" s="1"/>
      <c r="Y598" s="4"/>
      <c r="AJ598"/>
      <c r="AK598" s="14"/>
    </row>
    <row r="599" spans="4:37" ht="14.25" customHeight="1" x14ac:dyDescent="0.35">
      <c r="D599"/>
      <c r="H599" s="8"/>
      <c r="J599"/>
      <c r="K599"/>
      <c r="L599"/>
      <c r="Q599" s="1"/>
      <c r="Y599" s="4"/>
      <c r="AJ599"/>
      <c r="AK599" s="14"/>
    </row>
    <row r="600" spans="4:37" ht="14.25" customHeight="1" x14ac:dyDescent="0.35">
      <c r="D600"/>
      <c r="H600" s="8"/>
      <c r="J600"/>
      <c r="K600"/>
      <c r="L600"/>
      <c r="Q600" s="1"/>
      <c r="Y600" s="4"/>
      <c r="AJ600"/>
      <c r="AK600" s="14"/>
    </row>
    <row r="601" spans="4:37" ht="14.25" customHeight="1" x14ac:dyDescent="0.35">
      <c r="D601"/>
      <c r="H601" s="8"/>
      <c r="J601"/>
      <c r="K601"/>
      <c r="L601"/>
      <c r="Q601" s="1"/>
      <c r="Y601" s="4"/>
      <c r="AJ601"/>
      <c r="AK601" s="14"/>
    </row>
    <row r="602" spans="4:37" ht="14.25" customHeight="1" x14ac:dyDescent="0.35">
      <c r="D602"/>
      <c r="H602" s="8"/>
      <c r="J602"/>
      <c r="K602"/>
      <c r="L602"/>
      <c r="Q602" s="1"/>
      <c r="Y602" s="4"/>
      <c r="AJ602"/>
      <c r="AK602" s="14"/>
    </row>
    <row r="603" spans="4:37" ht="14.25" customHeight="1" x14ac:dyDescent="0.35">
      <c r="D603"/>
      <c r="H603" s="8"/>
      <c r="J603"/>
      <c r="K603"/>
      <c r="L603"/>
      <c r="Q603" s="1"/>
      <c r="Y603" s="4"/>
      <c r="AJ603"/>
      <c r="AK603" s="14"/>
    </row>
    <row r="604" spans="4:37" ht="14.25" customHeight="1" x14ac:dyDescent="0.35">
      <c r="D604"/>
      <c r="H604" s="8"/>
      <c r="J604"/>
      <c r="K604"/>
      <c r="L604"/>
      <c r="Q604" s="1"/>
      <c r="Y604" s="4"/>
      <c r="AJ604"/>
      <c r="AK604" s="14"/>
    </row>
    <row r="605" spans="4:37" ht="14.25" customHeight="1" x14ac:dyDescent="0.35">
      <c r="D605"/>
      <c r="H605" s="8"/>
      <c r="J605"/>
      <c r="K605"/>
      <c r="L605"/>
      <c r="Q605" s="1"/>
      <c r="Y605" s="4"/>
      <c r="AJ605"/>
      <c r="AK605" s="14"/>
    </row>
    <row r="606" spans="4:37" ht="14.25" customHeight="1" x14ac:dyDescent="0.35">
      <c r="D606"/>
      <c r="H606" s="8"/>
      <c r="J606"/>
      <c r="K606"/>
      <c r="L606"/>
      <c r="Q606" s="1"/>
      <c r="Y606" s="4"/>
      <c r="AJ606"/>
      <c r="AK606" s="14"/>
    </row>
    <row r="607" spans="4:37" ht="14.25" customHeight="1" x14ac:dyDescent="0.35">
      <c r="D607"/>
      <c r="H607" s="8"/>
      <c r="J607"/>
      <c r="K607"/>
      <c r="L607"/>
      <c r="Q607" s="1"/>
      <c r="Y607" s="4"/>
      <c r="AJ607"/>
      <c r="AK607" s="14"/>
    </row>
    <row r="608" spans="4:37" ht="14.25" customHeight="1" x14ac:dyDescent="0.35">
      <c r="D608"/>
      <c r="H608" s="8"/>
      <c r="J608"/>
      <c r="K608"/>
      <c r="L608"/>
      <c r="Q608" s="1"/>
      <c r="Y608" s="4"/>
      <c r="AJ608"/>
      <c r="AK608" s="14"/>
    </row>
    <row r="609" spans="4:37" ht="14.25" customHeight="1" x14ac:dyDescent="0.35">
      <c r="D609"/>
      <c r="H609" s="8"/>
      <c r="J609"/>
      <c r="K609"/>
      <c r="L609"/>
      <c r="Q609" s="1"/>
      <c r="Y609" s="4"/>
      <c r="AJ609"/>
      <c r="AK609" s="14"/>
    </row>
    <row r="610" spans="4:37" ht="14.25" customHeight="1" x14ac:dyDescent="0.35">
      <c r="D610"/>
      <c r="H610" s="8"/>
      <c r="J610"/>
      <c r="K610"/>
      <c r="L610"/>
      <c r="Q610" s="1"/>
      <c r="Y610" s="4"/>
      <c r="AJ610"/>
      <c r="AK610" s="14"/>
    </row>
    <row r="611" spans="4:37" ht="14.25" customHeight="1" x14ac:dyDescent="0.35">
      <c r="D611"/>
      <c r="H611" s="8"/>
      <c r="J611"/>
      <c r="K611"/>
      <c r="L611"/>
      <c r="Q611" s="1"/>
      <c r="Y611" s="4"/>
      <c r="AJ611"/>
      <c r="AK611" s="14"/>
    </row>
    <row r="612" spans="4:37" ht="14.25" customHeight="1" x14ac:dyDescent="0.35">
      <c r="D612"/>
      <c r="H612" s="8"/>
      <c r="J612"/>
      <c r="K612"/>
      <c r="L612"/>
      <c r="Q612" s="1"/>
      <c r="Y612" s="4"/>
      <c r="AJ612"/>
      <c r="AK612" s="14"/>
    </row>
    <row r="613" spans="4:37" ht="14.25" customHeight="1" x14ac:dyDescent="0.35">
      <c r="D613"/>
      <c r="H613" s="8"/>
      <c r="J613"/>
      <c r="K613"/>
      <c r="L613"/>
      <c r="Q613" s="1"/>
      <c r="Y613" s="4"/>
      <c r="AJ613"/>
      <c r="AK613" s="14"/>
    </row>
    <row r="614" spans="4:37" ht="14.25" customHeight="1" x14ac:dyDescent="0.35">
      <c r="D614"/>
      <c r="H614" s="8"/>
      <c r="J614"/>
      <c r="K614"/>
      <c r="L614"/>
      <c r="Q614" s="1"/>
      <c r="Y614" s="4"/>
      <c r="AJ614"/>
      <c r="AK614" s="14"/>
    </row>
    <row r="615" spans="4:37" ht="14.25" customHeight="1" x14ac:dyDescent="0.35">
      <c r="D615"/>
      <c r="H615" s="8"/>
      <c r="J615"/>
      <c r="K615"/>
      <c r="L615"/>
      <c r="Q615" s="1"/>
      <c r="Y615" s="4"/>
      <c r="AJ615"/>
      <c r="AK615" s="14"/>
    </row>
    <row r="616" spans="4:37" ht="14.25" customHeight="1" x14ac:dyDescent="0.35">
      <c r="D616"/>
      <c r="H616" s="8"/>
      <c r="J616"/>
      <c r="K616"/>
      <c r="L616"/>
      <c r="Q616" s="1"/>
      <c r="Y616" s="4"/>
      <c r="AJ616"/>
      <c r="AK616" s="14"/>
    </row>
    <row r="617" spans="4:37" ht="14.25" customHeight="1" x14ac:dyDescent="0.35">
      <c r="D617"/>
      <c r="H617" s="8"/>
      <c r="J617"/>
      <c r="K617"/>
      <c r="L617"/>
      <c r="Q617" s="1"/>
      <c r="Y617" s="4"/>
      <c r="AJ617"/>
      <c r="AK617" s="14"/>
    </row>
    <row r="618" spans="4:37" ht="14.25" customHeight="1" x14ac:dyDescent="0.35">
      <c r="D618"/>
      <c r="H618" s="8"/>
      <c r="J618"/>
      <c r="K618"/>
      <c r="L618"/>
      <c r="Q618" s="1"/>
      <c r="Y618" s="4"/>
      <c r="AJ618"/>
      <c r="AK618" s="14"/>
    </row>
    <row r="619" spans="4:37" ht="14.25" customHeight="1" x14ac:dyDescent="0.35">
      <c r="D619"/>
      <c r="H619" s="8"/>
      <c r="J619"/>
      <c r="K619"/>
      <c r="L619"/>
      <c r="Q619" s="1"/>
      <c r="Y619" s="4"/>
      <c r="AJ619"/>
      <c r="AK619" s="14"/>
    </row>
    <row r="620" spans="4:37" ht="14.25" customHeight="1" x14ac:dyDescent="0.35">
      <c r="D620"/>
      <c r="H620" s="8"/>
      <c r="J620"/>
      <c r="K620"/>
      <c r="L620"/>
      <c r="Q620" s="1"/>
      <c r="Y620" s="4"/>
      <c r="AJ620"/>
      <c r="AK620" s="14"/>
    </row>
    <row r="621" spans="4:37" ht="14.25" customHeight="1" x14ac:dyDescent="0.35">
      <c r="D621"/>
      <c r="H621" s="8"/>
      <c r="J621"/>
      <c r="K621"/>
      <c r="L621"/>
      <c r="Q621" s="1"/>
      <c r="Y621" s="4"/>
      <c r="AJ621"/>
      <c r="AK621" s="14"/>
    </row>
    <row r="622" spans="4:37" ht="14.25" customHeight="1" x14ac:dyDescent="0.35">
      <c r="D622"/>
      <c r="H622" s="8"/>
      <c r="J622"/>
      <c r="K622"/>
      <c r="L622"/>
      <c r="Q622" s="1"/>
      <c r="Y622" s="4"/>
      <c r="AJ622"/>
      <c r="AK622" s="14"/>
    </row>
    <row r="623" spans="4:37" ht="14.25" customHeight="1" x14ac:dyDescent="0.35">
      <c r="D623"/>
      <c r="H623" s="8"/>
      <c r="J623"/>
      <c r="K623"/>
      <c r="L623"/>
      <c r="Q623" s="1"/>
      <c r="Y623" s="4"/>
      <c r="AJ623"/>
      <c r="AK623" s="14"/>
    </row>
    <row r="624" spans="4:37" ht="14.25" customHeight="1" x14ac:dyDescent="0.35">
      <c r="D624"/>
      <c r="H624" s="8"/>
      <c r="J624"/>
      <c r="K624"/>
      <c r="L624"/>
      <c r="Q624" s="1"/>
      <c r="Y624" s="4"/>
      <c r="AJ624"/>
      <c r="AK624" s="14"/>
    </row>
    <row r="625" spans="4:37" ht="14.25" customHeight="1" x14ac:dyDescent="0.35">
      <c r="D625"/>
      <c r="H625" s="8"/>
      <c r="J625"/>
      <c r="K625"/>
      <c r="L625"/>
      <c r="Q625" s="1"/>
      <c r="Y625" s="4"/>
      <c r="AJ625"/>
      <c r="AK625" s="14"/>
    </row>
    <row r="626" spans="4:37" ht="14.25" customHeight="1" x14ac:dyDescent="0.35">
      <c r="D626"/>
      <c r="H626" s="8"/>
      <c r="J626"/>
      <c r="K626"/>
      <c r="L626"/>
      <c r="Q626" s="1"/>
      <c r="Y626" s="4"/>
      <c r="AJ626"/>
      <c r="AK626" s="14"/>
    </row>
    <row r="627" spans="4:37" ht="14.25" customHeight="1" x14ac:dyDescent="0.35">
      <c r="D627"/>
      <c r="H627" s="8"/>
      <c r="J627"/>
      <c r="K627"/>
      <c r="L627"/>
      <c r="Q627" s="1"/>
      <c r="Y627" s="4"/>
      <c r="AJ627"/>
      <c r="AK627" s="14"/>
    </row>
    <row r="628" spans="4:37" ht="14.25" customHeight="1" x14ac:dyDescent="0.35">
      <c r="D628"/>
      <c r="H628" s="8"/>
      <c r="J628"/>
      <c r="K628"/>
      <c r="L628"/>
      <c r="Q628" s="1"/>
      <c r="Y628" s="4"/>
      <c r="AJ628"/>
      <c r="AK628" s="14"/>
    </row>
    <row r="629" spans="4:37" ht="14.25" customHeight="1" x14ac:dyDescent="0.35">
      <c r="D629"/>
      <c r="H629" s="8"/>
      <c r="J629"/>
      <c r="K629"/>
      <c r="L629"/>
      <c r="Q629" s="1"/>
      <c r="Y629" s="4"/>
      <c r="AJ629"/>
      <c r="AK629" s="14"/>
    </row>
    <row r="630" spans="4:37" ht="14.25" customHeight="1" x14ac:dyDescent="0.35">
      <c r="D630"/>
      <c r="H630" s="8"/>
      <c r="J630"/>
      <c r="K630"/>
      <c r="L630"/>
      <c r="Q630" s="1"/>
      <c r="Y630" s="4"/>
      <c r="AJ630"/>
      <c r="AK630" s="14"/>
    </row>
    <row r="631" spans="4:37" ht="14.25" customHeight="1" x14ac:dyDescent="0.35">
      <c r="D631"/>
      <c r="H631" s="8"/>
      <c r="J631"/>
      <c r="K631"/>
      <c r="L631"/>
      <c r="Q631" s="1"/>
      <c r="Y631" s="4"/>
      <c r="AJ631"/>
      <c r="AK631" s="14"/>
    </row>
    <row r="632" spans="4:37" ht="14.25" customHeight="1" x14ac:dyDescent="0.35">
      <c r="D632"/>
      <c r="H632" s="8"/>
      <c r="J632"/>
      <c r="K632"/>
      <c r="L632"/>
      <c r="Q632" s="1"/>
      <c r="Y632" s="4"/>
      <c r="AJ632"/>
      <c r="AK632" s="14"/>
    </row>
    <row r="633" spans="4:37" ht="14.25" customHeight="1" x14ac:dyDescent="0.35">
      <c r="D633"/>
      <c r="H633" s="8"/>
      <c r="J633"/>
      <c r="K633"/>
      <c r="L633"/>
      <c r="Q633" s="1"/>
      <c r="Y633" s="4"/>
      <c r="AJ633"/>
      <c r="AK633" s="14"/>
    </row>
    <row r="634" spans="4:37" ht="14.25" customHeight="1" x14ac:dyDescent="0.35">
      <c r="D634"/>
      <c r="H634" s="8"/>
      <c r="J634"/>
      <c r="K634"/>
      <c r="L634"/>
      <c r="Q634" s="1"/>
      <c r="Y634" s="4"/>
      <c r="AJ634"/>
      <c r="AK634" s="14"/>
    </row>
    <row r="635" spans="4:37" ht="14.25" customHeight="1" x14ac:dyDescent="0.35">
      <c r="D635"/>
      <c r="H635" s="8"/>
      <c r="J635"/>
      <c r="K635"/>
      <c r="L635"/>
      <c r="Q635" s="1"/>
      <c r="Y635" s="4"/>
      <c r="AJ635"/>
      <c r="AK635" s="14"/>
    </row>
    <row r="636" spans="4:37" ht="14.25" customHeight="1" x14ac:dyDescent="0.35">
      <c r="D636"/>
      <c r="H636" s="8"/>
      <c r="J636"/>
      <c r="K636"/>
      <c r="L636"/>
      <c r="Q636" s="1"/>
      <c r="Y636" s="4"/>
      <c r="AJ636"/>
      <c r="AK636" s="14"/>
    </row>
    <row r="637" spans="4:37" ht="14.25" customHeight="1" x14ac:dyDescent="0.35">
      <c r="D637"/>
      <c r="H637" s="8"/>
      <c r="J637"/>
      <c r="K637"/>
      <c r="L637"/>
      <c r="Q637" s="1"/>
      <c r="Y637" s="4"/>
      <c r="AJ637"/>
      <c r="AK637" s="14"/>
    </row>
    <row r="638" spans="4:37" ht="14.25" customHeight="1" x14ac:dyDescent="0.35">
      <c r="D638"/>
      <c r="H638" s="8"/>
      <c r="J638"/>
      <c r="K638"/>
      <c r="L638"/>
      <c r="Q638" s="1"/>
      <c r="Y638" s="4"/>
      <c r="AJ638"/>
      <c r="AK638" s="14"/>
    </row>
    <row r="639" spans="4:37" ht="14.25" customHeight="1" x14ac:dyDescent="0.35">
      <c r="D639"/>
      <c r="H639" s="8"/>
      <c r="J639"/>
      <c r="K639"/>
      <c r="L639"/>
      <c r="Q639" s="1"/>
      <c r="Y639" s="4"/>
      <c r="AJ639"/>
      <c r="AK639" s="14"/>
    </row>
    <row r="640" spans="4:37" ht="14.25" customHeight="1" x14ac:dyDescent="0.35">
      <c r="D640"/>
      <c r="H640" s="8"/>
      <c r="J640"/>
      <c r="K640"/>
      <c r="L640"/>
      <c r="Q640" s="1"/>
      <c r="Y640" s="4"/>
      <c r="AJ640"/>
      <c r="AK640" s="14"/>
    </row>
    <row r="641" spans="4:37" ht="14.25" customHeight="1" x14ac:dyDescent="0.35">
      <c r="D641"/>
      <c r="H641" s="8"/>
      <c r="J641"/>
      <c r="K641"/>
      <c r="L641"/>
      <c r="Q641" s="1"/>
      <c r="Y641" s="4"/>
      <c r="AJ641"/>
      <c r="AK641" s="14"/>
    </row>
    <row r="642" spans="4:37" ht="14.25" customHeight="1" x14ac:dyDescent="0.35">
      <c r="D642"/>
      <c r="H642" s="8"/>
      <c r="J642"/>
      <c r="K642"/>
      <c r="L642"/>
      <c r="Q642" s="1"/>
      <c r="Y642" s="4"/>
      <c r="AJ642"/>
      <c r="AK642" s="14"/>
    </row>
    <row r="643" spans="4:37" ht="14.25" customHeight="1" x14ac:dyDescent="0.35">
      <c r="D643"/>
      <c r="H643" s="8"/>
      <c r="J643"/>
      <c r="K643"/>
      <c r="L643"/>
      <c r="Q643" s="1"/>
      <c r="Y643" s="4"/>
      <c r="AJ643"/>
      <c r="AK643" s="14"/>
    </row>
    <row r="644" spans="4:37" ht="14.25" customHeight="1" x14ac:dyDescent="0.35">
      <c r="D644"/>
      <c r="H644" s="8"/>
      <c r="J644"/>
      <c r="K644"/>
      <c r="L644"/>
      <c r="Q644" s="1"/>
      <c r="Y644" s="4"/>
      <c r="AJ644"/>
      <c r="AK644" s="14"/>
    </row>
    <row r="645" spans="4:37" ht="14.25" customHeight="1" x14ac:dyDescent="0.35">
      <c r="D645"/>
      <c r="H645" s="8"/>
      <c r="J645"/>
      <c r="K645"/>
      <c r="L645"/>
      <c r="Q645" s="1"/>
      <c r="Y645" s="4"/>
      <c r="AJ645"/>
      <c r="AK645" s="14"/>
    </row>
    <row r="646" spans="4:37" ht="14.25" customHeight="1" x14ac:dyDescent="0.35">
      <c r="D646"/>
      <c r="H646" s="8"/>
      <c r="J646"/>
      <c r="K646"/>
      <c r="L646"/>
      <c r="Q646" s="1"/>
      <c r="Y646" s="4"/>
      <c r="AJ646"/>
      <c r="AK646" s="14"/>
    </row>
    <row r="647" spans="4:37" ht="14.25" customHeight="1" x14ac:dyDescent="0.35">
      <c r="D647"/>
      <c r="H647" s="8"/>
      <c r="J647"/>
      <c r="K647"/>
      <c r="L647"/>
      <c r="Q647" s="1"/>
      <c r="Y647" s="4"/>
      <c r="AJ647"/>
      <c r="AK647" s="14"/>
    </row>
    <row r="648" spans="4:37" ht="14.25" customHeight="1" x14ac:dyDescent="0.35">
      <c r="D648"/>
      <c r="H648" s="8"/>
      <c r="J648"/>
      <c r="K648"/>
      <c r="L648"/>
      <c r="Q648" s="1"/>
      <c r="Y648" s="4"/>
      <c r="AJ648"/>
      <c r="AK648" s="14"/>
    </row>
    <row r="649" spans="4:37" ht="14.25" customHeight="1" x14ac:dyDescent="0.35">
      <c r="D649"/>
      <c r="H649" s="8"/>
      <c r="J649"/>
      <c r="K649"/>
      <c r="L649"/>
      <c r="Q649" s="1"/>
      <c r="Y649" s="4"/>
      <c r="AJ649"/>
      <c r="AK649" s="14"/>
    </row>
    <row r="650" spans="4:37" ht="14.25" customHeight="1" x14ac:dyDescent="0.35">
      <c r="D650"/>
      <c r="H650" s="8"/>
      <c r="J650"/>
      <c r="K650"/>
      <c r="L650"/>
      <c r="Q650" s="1"/>
      <c r="Y650" s="4"/>
      <c r="AJ650"/>
      <c r="AK650" s="14"/>
    </row>
    <row r="651" spans="4:37" ht="14.25" customHeight="1" x14ac:dyDescent="0.35">
      <c r="D651"/>
      <c r="H651" s="8"/>
      <c r="J651"/>
      <c r="K651"/>
      <c r="L651"/>
      <c r="Q651" s="1"/>
      <c r="Y651" s="4"/>
      <c r="AJ651"/>
      <c r="AK651" s="14"/>
    </row>
    <row r="652" spans="4:37" ht="14.25" customHeight="1" x14ac:dyDescent="0.35">
      <c r="D652"/>
      <c r="H652" s="8"/>
      <c r="J652"/>
      <c r="K652"/>
      <c r="L652"/>
      <c r="Q652" s="1"/>
      <c r="Y652" s="4"/>
      <c r="AJ652"/>
      <c r="AK652" s="14"/>
    </row>
    <row r="653" spans="4:37" ht="14.25" customHeight="1" x14ac:dyDescent="0.35">
      <c r="D653"/>
      <c r="H653" s="8"/>
      <c r="J653"/>
      <c r="K653"/>
      <c r="L653"/>
      <c r="Q653" s="1"/>
      <c r="Y653" s="4"/>
      <c r="AJ653"/>
      <c r="AK653" s="14"/>
    </row>
    <row r="654" spans="4:37" ht="14.25" customHeight="1" x14ac:dyDescent="0.35">
      <c r="D654"/>
      <c r="H654" s="8"/>
      <c r="J654"/>
      <c r="K654"/>
      <c r="L654"/>
      <c r="Q654" s="1"/>
      <c r="Y654" s="4"/>
      <c r="AJ654"/>
      <c r="AK654" s="14"/>
    </row>
    <row r="655" spans="4:37" ht="14.25" customHeight="1" x14ac:dyDescent="0.35">
      <c r="D655"/>
      <c r="H655" s="8"/>
      <c r="J655"/>
      <c r="K655"/>
      <c r="L655"/>
      <c r="Q655" s="1"/>
      <c r="Y655" s="4"/>
      <c r="AJ655"/>
      <c r="AK655" s="14"/>
    </row>
    <row r="656" spans="4:37" ht="14.25" customHeight="1" x14ac:dyDescent="0.35">
      <c r="D656"/>
      <c r="H656" s="8"/>
      <c r="J656"/>
      <c r="K656"/>
      <c r="L656"/>
      <c r="Q656" s="1"/>
      <c r="Y656" s="4"/>
      <c r="AJ656"/>
      <c r="AK656" s="14"/>
    </row>
    <row r="657" spans="4:37" ht="14.25" customHeight="1" x14ac:dyDescent="0.35">
      <c r="D657"/>
      <c r="H657" s="8"/>
      <c r="J657"/>
      <c r="K657"/>
      <c r="L657"/>
      <c r="Q657" s="1"/>
      <c r="Y657" s="4"/>
      <c r="AJ657"/>
      <c r="AK657" s="14"/>
    </row>
    <row r="658" spans="4:37" ht="14.25" customHeight="1" x14ac:dyDescent="0.35">
      <c r="D658"/>
      <c r="H658" s="8"/>
      <c r="J658"/>
      <c r="K658"/>
      <c r="L658"/>
      <c r="Q658" s="1"/>
      <c r="Y658" s="4"/>
      <c r="AJ658"/>
      <c r="AK658" s="14"/>
    </row>
    <row r="659" spans="4:37" ht="14.25" customHeight="1" x14ac:dyDescent="0.35">
      <c r="D659"/>
      <c r="H659" s="8"/>
      <c r="J659"/>
      <c r="K659"/>
      <c r="L659"/>
      <c r="Q659" s="1"/>
      <c r="Y659" s="4"/>
      <c r="AJ659"/>
      <c r="AK659" s="14"/>
    </row>
    <row r="660" spans="4:37" ht="14.25" customHeight="1" x14ac:dyDescent="0.35">
      <c r="D660"/>
      <c r="H660" s="8"/>
      <c r="J660"/>
      <c r="K660"/>
      <c r="L660"/>
      <c r="Q660" s="1"/>
      <c r="Y660" s="4"/>
      <c r="AJ660"/>
      <c r="AK660" s="14"/>
    </row>
    <row r="661" spans="4:37" ht="14.25" customHeight="1" x14ac:dyDescent="0.35">
      <c r="D661"/>
      <c r="H661" s="8"/>
      <c r="J661"/>
      <c r="K661"/>
      <c r="L661"/>
      <c r="Q661" s="1"/>
      <c r="Y661" s="4"/>
      <c r="AJ661"/>
      <c r="AK661" s="14"/>
    </row>
    <row r="662" spans="4:37" ht="14.25" customHeight="1" x14ac:dyDescent="0.35">
      <c r="D662"/>
      <c r="H662" s="8"/>
      <c r="J662"/>
      <c r="K662"/>
      <c r="L662"/>
      <c r="Q662" s="1"/>
      <c r="Y662" s="4"/>
      <c r="AJ662"/>
      <c r="AK662" s="14"/>
    </row>
    <row r="663" spans="4:37" ht="14.25" customHeight="1" x14ac:dyDescent="0.35">
      <c r="D663"/>
      <c r="H663" s="8"/>
      <c r="J663"/>
      <c r="K663"/>
      <c r="L663"/>
      <c r="Q663" s="1"/>
      <c r="Y663" s="4"/>
      <c r="AJ663"/>
      <c r="AK663" s="14"/>
    </row>
    <row r="664" spans="4:37" ht="14.25" customHeight="1" x14ac:dyDescent="0.35">
      <c r="D664"/>
      <c r="H664" s="8"/>
      <c r="J664"/>
      <c r="K664"/>
      <c r="L664"/>
      <c r="Q664" s="1"/>
      <c r="Y664" s="4"/>
      <c r="AJ664"/>
      <c r="AK664" s="14"/>
    </row>
    <row r="665" spans="4:37" ht="14.25" customHeight="1" x14ac:dyDescent="0.35">
      <c r="D665"/>
      <c r="H665" s="8"/>
      <c r="J665"/>
      <c r="K665"/>
      <c r="L665"/>
      <c r="Q665" s="1"/>
      <c r="Y665" s="4"/>
      <c r="AJ665"/>
      <c r="AK665" s="14"/>
    </row>
    <row r="666" spans="4:37" ht="14.25" customHeight="1" x14ac:dyDescent="0.35">
      <c r="D666"/>
      <c r="H666" s="8"/>
      <c r="J666"/>
      <c r="K666"/>
      <c r="L666"/>
      <c r="Q666" s="1"/>
      <c r="Y666" s="4"/>
      <c r="AJ666"/>
      <c r="AK666" s="14"/>
    </row>
    <row r="667" spans="4:37" ht="14.25" customHeight="1" x14ac:dyDescent="0.35">
      <c r="D667"/>
      <c r="H667" s="8"/>
      <c r="J667"/>
      <c r="K667"/>
      <c r="L667"/>
      <c r="Q667" s="1"/>
      <c r="Y667" s="4"/>
      <c r="AJ667"/>
      <c r="AK667" s="14"/>
    </row>
    <row r="668" spans="4:37" ht="14.25" customHeight="1" x14ac:dyDescent="0.35">
      <c r="D668"/>
      <c r="H668" s="8"/>
      <c r="J668"/>
      <c r="K668"/>
      <c r="L668"/>
      <c r="Q668" s="1"/>
      <c r="Y668" s="4"/>
      <c r="AJ668"/>
      <c r="AK668" s="14"/>
    </row>
    <row r="669" spans="4:37" ht="14.25" customHeight="1" x14ac:dyDescent="0.35">
      <c r="D669"/>
      <c r="H669" s="8"/>
      <c r="J669"/>
      <c r="K669"/>
      <c r="L669"/>
      <c r="Q669" s="1"/>
      <c r="Y669" s="4"/>
      <c r="AJ669"/>
      <c r="AK669" s="14"/>
    </row>
    <row r="670" spans="4:37" ht="14.25" customHeight="1" x14ac:dyDescent="0.35">
      <c r="D670"/>
      <c r="H670" s="8"/>
      <c r="J670"/>
      <c r="K670"/>
      <c r="L670"/>
      <c r="Q670" s="1"/>
      <c r="Y670" s="4"/>
      <c r="AJ670"/>
      <c r="AK670" s="14"/>
    </row>
    <row r="671" spans="4:37" ht="14.25" customHeight="1" x14ac:dyDescent="0.35">
      <c r="D671"/>
      <c r="H671" s="8"/>
      <c r="J671"/>
      <c r="K671"/>
      <c r="L671"/>
      <c r="Q671" s="1"/>
      <c r="Y671" s="4"/>
      <c r="AJ671"/>
      <c r="AK671" s="14"/>
    </row>
    <row r="672" spans="4:37" ht="14.25" customHeight="1" x14ac:dyDescent="0.35">
      <c r="D672"/>
      <c r="H672" s="8"/>
      <c r="J672"/>
      <c r="K672"/>
      <c r="L672"/>
      <c r="Q672" s="1"/>
      <c r="Y672" s="4"/>
      <c r="AJ672"/>
      <c r="AK672" s="14"/>
    </row>
    <row r="673" spans="4:37" ht="14.25" customHeight="1" x14ac:dyDescent="0.35">
      <c r="D673"/>
      <c r="H673" s="8"/>
      <c r="J673"/>
      <c r="K673"/>
      <c r="L673"/>
      <c r="Q673" s="1"/>
      <c r="Y673" s="4"/>
      <c r="AJ673"/>
      <c r="AK673" s="14"/>
    </row>
    <row r="674" spans="4:37" ht="14.25" customHeight="1" x14ac:dyDescent="0.35">
      <c r="D674"/>
      <c r="H674" s="8"/>
      <c r="J674"/>
      <c r="K674"/>
      <c r="L674"/>
      <c r="Q674" s="1"/>
      <c r="Y674" s="4"/>
      <c r="AJ674"/>
      <c r="AK674" s="14"/>
    </row>
    <row r="675" spans="4:37" ht="14.25" customHeight="1" x14ac:dyDescent="0.35">
      <c r="D675"/>
      <c r="H675" s="8"/>
      <c r="J675"/>
      <c r="K675"/>
      <c r="L675"/>
      <c r="Q675" s="1"/>
      <c r="Y675" s="4"/>
      <c r="AJ675"/>
      <c r="AK675" s="14"/>
    </row>
    <row r="676" spans="4:37" ht="14.25" customHeight="1" x14ac:dyDescent="0.35">
      <c r="D676"/>
      <c r="H676" s="8"/>
      <c r="J676"/>
      <c r="K676"/>
      <c r="L676"/>
      <c r="Q676" s="1"/>
      <c r="Y676" s="4"/>
      <c r="AJ676"/>
      <c r="AK676" s="14"/>
    </row>
    <row r="677" spans="4:37" ht="14.25" customHeight="1" x14ac:dyDescent="0.35">
      <c r="D677"/>
      <c r="H677" s="8"/>
      <c r="J677"/>
      <c r="K677"/>
      <c r="L677"/>
      <c r="Q677" s="1"/>
      <c r="Y677" s="4"/>
      <c r="AJ677"/>
      <c r="AK677" s="14"/>
    </row>
    <row r="678" spans="4:37" ht="14.25" customHeight="1" x14ac:dyDescent="0.35">
      <c r="D678"/>
      <c r="H678" s="8"/>
      <c r="J678"/>
      <c r="K678"/>
      <c r="L678"/>
      <c r="Q678" s="1"/>
      <c r="Y678" s="4"/>
      <c r="AJ678"/>
      <c r="AK678" s="14"/>
    </row>
    <row r="679" spans="4:37" ht="14.25" customHeight="1" x14ac:dyDescent="0.35">
      <c r="D679"/>
      <c r="H679" s="8"/>
      <c r="J679"/>
      <c r="K679"/>
      <c r="L679"/>
      <c r="Q679" s="1"/>
      <c r="Y679" s="4"/>
      <c r="AJ679"/>
      <c r="AK679" s="14"/>
    </row>
    <row r="680" spans="4:37" ht="14.25" customHeight="1" x14ac:dyDescent="0.35">
      <c r="D680"/>
      <c r="H680" s="8"/>
      <c r="J680"/>
      <c r="K680"/>
      <c r="L680"/>
      <c r="Q680" s="1"/>
      <c r="Y680" s="4"/>
      <c r="AJ680"/>
      <c r="AK680" s="14"/>
    </row>
    <row r="681" spans="4:37" ht="14.25" customHeight="1" x14ac:dyDescent="0.35">
      <c r="D681"/>
      <c r="H681" s="8"/>
      <c r="J681"/>
      <c r="K681"/>
      <c r="L681"/>
      <c r="Q681" s="1"/>
      <c r="Y681" s="4"/>
      <c r="AJ681"/>
      <c r="AK681" s="14"/>
    </row>
    <row r="682" spans="4:37" ht="14.25" customHeight="1" x14ac:dyDescent="0.35">
      <c r="D682"/>
      <c r="H682" s="8"/>
      <c r="J682"/>
      <c r="K682"/>
      <c r="L682"/>
      <c r="Q682" s="1"/>
      <c r="Y682" s="4"/>
      <c r="AJ682"/>
      <c r="AK682" s="14"/>
    </row>
    <row r="683" spans="4:37" ht="14.25" customHeight="1" x14ac:dyDescent="0.35">
      <c r="D683"/>
      <c r="H683" s="8"/>
      <c r="J683"/>
      <c r="K683"/>
      <c r="L683"/>
      <c r="Q683" s="1"/>
      <c r="Y683" s="4"/>
      <c r="AJ683"/>
      <c r="AK683" s="14"/>
    </row>
    <row r="684" spans="4:37" ht="14.25" customHeight="1" x14ac:dyDescent="0.35">
      <c r="D684"/>
      <c r="H684" s="8"/>
      <c r="J684"/>
      <c r="K684"/>
      <c r="L684"/>
      <c r="Q684" s="1"/>
      <c r="Y684" s="4"/>
      <c r="AJ684"/>
      <c r="AK684" s="14"/>
    </row>
    <row r="685" spans="4:37" ht="14.25" customHeight="1" x14ac:dyDescent="0.35">
      <c r="D685"/>
      <c r="H685" s="8"/>
      <c r="J685"/>
      <c r="K685"/>
      <c r="L685"/>
      <c r="Q685" s="1"/>
      <c r="Y685" s="4"/>
      <c r="AJ685"/>
      <c r="AK685" s="14"/>
    </row>
    <row r="686" spans="4:37" ht="14.25" customHeight="1" x14ac:dyDescent="0.35">
      <c r="D686"/>
      <c r="H686" s="8"/>
      <c r="J686"/>
      <c r="K686"/>
      <c r="L686"/>
      <c r="Q686" s="1"/>
      <c r="Y686" s="4"/>
      <c r="AJ686"/>
      <c r="AK686" s="14"/>
    </row>
    <row r="687" spans="4:37" ht="14.25" customHeight="1" x14ac:dyDescent="0.35">
      <c r="D687"/>
      <c r="H687" s="8"/>
      <c r="J687"/>
      <c r="K687"/>
      <c r="L687"/>
      <c r="Q687" s="1"/>
      <c r="Y687" s="4"/>
      <c r="AJ687"/>
      <c r="AK687" s="14"/>
    </row>
    <row r="688" spans="4:37" ht="14.25" customHeight="1" x14ac:dyDescent="0.35">
      <c r="D688"/>
      <c r="H688" s="8"/>
      <c r="J688"/>
      <c r="K688"/>
      <c r="L688"/>
      <c r="Q688" s="1"/>
      <c r="Y688" s="4"/>
      <c r="AJ688"/>
      <c r="AK688" s="14"/>
    </row>
    <row r="689" spans="4:37" ht="14.25" customHeight="1" x14ac:dyDescent="0.35">
      <c r="D689"/>
      <c r="H689" s="8"/>
      <c r="J689"/>
      <c r="K689"/>
      <c r="L689"/>
      <c r="Q689" s="1"/>
      <c r="Y689" s="4"/>
      <c r="AJ689"/>
      <c r="AK689" s="14"/>
    </row>
    <row r="690" spans="4:37" ht="14.25" customHeight="1" x14ac:dyDescent="0.35">
      <c r="D690"/>
      <c r="H690" s="8"/>
      <c r="J690"/>
      <c r="K690"/>
      <c r="L690"/>
      <c r="Q690" s="1"/>
      <c r="Y690" s="4"/>
      <c r="AJ690"/>
      <c r="AK690" s="14"/>
    </row>
    <row r="691" spans="4:37" ht="14.25" customHeight="1" x14ac:dyDescent="0.35">
      <c r="D691"/>
      <c r="H691" s="8"/>
      <c r="J691"/>
      <c r="K691"/>
      <c r="L691"/>
      <c r="Q691" s="1"/>
      <c r="Y691" s="4"/>
      <c r="AJ691"/>
      <c r="AK691" s="14"/>
    </row>
    <row r="692" spans="4:37" ht="14.25" customHeight="1" x14ac:dyDescent="0.35">
      <c r="D692"/>
      <c r="H692" s="8"/>
      <c r="J692"/>
      <c r="K692"/>
      <c r="L692"/>
      <c r="Q692" s="1"/>
      <c r="Y692" s="4"/>
      <c r="AJ692"/>
      <c r="AK692" s="14"/>
    </row>
    <row r="693" spans="4:37" ht="14.25" customHeight="1" x14ac:dyDescent="0.35">
      <c r="D693"/>
      <c r="H693" s="8"/>
      <c r="J693"/>
      <c r="K693"/>
      <c r="L693"/>
      <c r="Q693" s="1"/>
      <c r="Y693" s="4"/>
      <c r="AJ693"/>
      <c r="AK693" s="14"/>
    </row>
    <row r="694" spans="4:37" ht="14.25" customHeight="1" x14ac:dyDescent="0.35">
      <c r="D694"/>
      <c r="H694" s="8"/>
      <c r="J694"/>
      <c r="K694"/>
      <c r="L694"/>
      <c r="Q694" s="1"/>
      <c r="Y694" s="4"/>
      <c r="AJ694"/>
      <c r="AK694" s="14"/>
    </row>
    <row r="695" spans="4:37" ht="14.25" customHeight="1" x14ac:dyDescent="0.35">
      <c r="D695"/>
      <c r="H695" s="8"/>
      <c r="J695"/>
      <c r="K695"/>
      <c r="L695"/>
      <c r="Q695" s="1"/>
      <c r="Y695" s="4"/>
      <c r="AJ695"/>
      <c r="AK695" s="14"/>
    </row>
    <row r="696" spans="4:37" ht="14.25" customHeight="1" x14ac:dyDescent="0.35">
      <c r="D696"/>
      <c r="H696" s="8"/>
      <c r="J696"/>
      <c r="K696"/>
      <c r="L696"/>
      <c r="Q696" s="1"/>
      <c r="Y696" s="4"/>
      <c r="AJ696"/>
      <c r="AK696" s="14"/>
    </row>
    <row r="697" spans="4:37" ht="14.25" customHeight="1" x14ac:dyDescent="0.35">
      <c r="D697"/>
      <c r="H697" s="8"/>
      <c r="J697"/>
      <c r="K697"/>
      <c r="L697"/>
      <c r="Q697" s="1"/>
      <c r="Y697" s="4"/>
      <c r="AJ697"/>
      <c r="AK697" s="14"/>
    </row>
    <row r="698" spans="4:37" ht="14.25" customHeight="1" x14ac:dyDescent="0.35">
      <c r="D698"/>
      <c r="H698" s="8"/>
      <c r="J698"/>
      <c r="K698"/>
      <c r="L698"/>
      <c r="Q698" s="1"/>
      <c r="Y698" s="4"/>
      <c r="AJ698"/>
      <c r="AK698" s="14"/>
    </row>
    <row r="699" spans="4:37" ht="14.25" customHeight="1" x14ac:dyDescent="0.35">
      <c r="D699"/>
      <c r="H699" s="8"/>
      <c r="J699"/>
      <c r="K699"/>
      <c r="L699"/>
      <c r="Q699" s="1"/>
      <c r="Y699" s="4"/>
      <c r="AJ699"/>
      <c r="AK699" s="14"/>
    </row>
    <row r="700" spans="4:37" ht="14.25" customHeight="1" x14ac:dyDescent="0.35">
      <c r="D700"/>
      <c r="H700" s="8"/>
      <c r="J700"/>
      <c r="K700"/>
      <c r="L700"/>
      <c r="Q700" s="1"/>
      <c r="Y700" s="4"/>
      <c r="AJ700"/>
      <c r="AK700" s="14"/>
    </row>
    <row r="701" spans="4:37" ht="14.25" customHeight="1" x14ac:dyDescent="0.35">
      <c r="D701"/>
      <c r="H701" s="8"/>
      <c r="J701"/>
      <c r="K701"/>
      <c r="L701"/>
      <c r="Q701" s="1"/>
      <c r="Y701" s="4"/>
      <c r="AJ701"/>
      <c r="AK701" s="14"/>
    </row>
    <row r="702" spans="4:37" ht="14.25" customHeight="1" x14ac:dyDescent="0.35">
      <c r="D702"/>
      <c r="H702" s="8"/>
      <c r="J702"/>
      <c r="K702"/>
      <c r="L702"/>
      <c r="Q702" s="1"/>
      <c r="Y702" s="4"/>
      <c r="AJ702"/>
      <c r="AK702" s="14"/>
    </row>
    <row r="703" spans="4:37" ht="14.25" customHeight="1" x14ac:dyDescent="0.35">
      <c r="D703"/>
      <c r="H703" s="8"/>
      <c r="J703"/>
      <c r="K703"/>
      <c r="L703"/>
      <c r="Q703" s="1"/>
      <c r="Y703" s="4"/>
      <c r="AJ703"/>
      <c r="AK703" s="14"/>
    </row>
    <row r="704" spans="4:37" ht="14.25" customHeight="1" x14ac:dyDescent="0.35">
      <c r="D704"/>
      <c r="H704" s="8"/>
      <c r="J704"/>
      <c r="K704"/>
      <c r="L704"/>
      <c r="Q704" s="1"/>
      <c r="Y704" s="4"/>
      <c r="AJ704"/>
      <c r="AK704" s="14"/>
    </row>
    <row r="705" spans="4:37" ht="14.25" customHeight="1" x14ac:dyDescent="0.35">
      <c r="D705"/>
      <c r="H705" s="8"/>
      <c r="J705"/>
      <c r="K705"/>
      <c r="L705"/>
      <c r="Q705" s="1"/>
      <c r="Y705" s="4"/>
      <c r="AJ705"/>
      <c r="AK705" s="14"/>
    </row>
    <row r="706" spans="4:37" ht="14.25" customHeight="1" x14ac:dyDescent="0.35">
      <c r="D706"/>
      <c r="H706" s="8"/>
      <c r="J706"/>
      <c r="K706"/>
      <c r="L706"/>
      <c r="Q706" s="1"/>
      <c r="Y706" s="4"/>
      <c r="AJ706"/>
      <c r="AK706" s="14"/>
    </row>
    <row r="707" spans="4:37" ht="14.25" customHeight="1" x14ac:dyDescent="0.35">
      <c r="D707"/>
      <c r="H707" s="8"/>
      <c r="J707"/>
      <c r="K707"/>
      <c r="L707"/>
      <c r="Q707" s="1"/>
      <c r="Y707" s="4"/>
      <c r="AJ707"/>
      <c r="AK707" s="14"/>
    </row>
    <row r="708" spans="4:37" ht="14.25" customHeight="1" x14ac:dyDescent="0.35">
      <c r="D708"/>
      <c r="H708" s="8"/>
      <c r="J708"/>
      <c r="K708"/>
      <c r="L708"/>
      <c r="Q708" s="1"/>
      <c r="Y708" s="4"/>
      <c r="AJ708"/>
      <c r="AK708" s="14"/>
    </row>
    <row r="709" spans="4:37" ht="14.25" customHeight="1" x14ac:dyDescent="0.35">
      <c r="D709"/>
      <c r="H709" s="8"/>
      <c r="J709"/>
      <c r="K709"/>
      <c r="L709"/>
      <c r="Q709" s="1"/>
      <c r="Y709" s="4"/>
      <c r="AJ709"/>
      <c r="AK709" s="14"/>
    </row>
    <row r="710" spans="4:37" ht="14.25" customHeight="1" x14ac:dyDescent="0.35">
      <c r="D710"/>
      <c r="H710" s="8"/>
      <c r="J710"/>
      <c r="K710"/>
      <c r="L710"/>
      <c r="Q710" s="1"/>
      <c r="Y710" s="4"/>
      <c r="AJ710"/>
      <c r="AK710" s="14"/>
    </row>
    <row r="711" spans="4:37" ht="14.25" customHeight="1" x14ac:dyDescent="0.35">
      <c r="D711"/>
      <c r="H711" s="8"/>
      <c r="J711"/>
      <c r="K711"/>
      <c r="L711"/>
      <c r="Q711" s="1"/>
      <c r="Y711" s="4"/>
      <c r="AJ711"/>
      <c r="AK711" s="14"/>
    </row>
    <row r="712" spans="4:37" ht="14.25" customHeight="1" x14ac:dyDescent="0.35">
      <c r="D712"/>
      <c r="H712" s="8"/>
      <c r="J712"/>
      <c r="K712"/>
      <c r="L712"/>
      <c r="Q712" s="1"/>
      <c r="Y712" s="4"/>
      <c r="AJ712"/>
      <c r="AK712" s="14"/>
    </row>
    <row r="713" spans="4:37" ht="14.25" customHeight="1" x14ac:dyDescent="0.35">
      <c r="D713"/>
      <c r="H713" s="8"/>
      <c r="J713"/>
      <c r="K713"/>
      <c r="L713"/>
      <c r="Q713" s="1"/>
      <c r="Y713" s="4"/>
      <c r="AJ713"/>
      <c r="AK713" s="14"/>
    </row>
    <row r="714" spans="4:37" ht="14.25" customHeight="1" x14ac:dyDescent="0.35">
      <c r="D714"/>
      <c r="H714" s="8"/>
      <c r="J714"/>
      <c r="K714"/>
      <c r="L714"/>
      <c r="Q714" s="1"/>
      <c r="Y714" s="4"/>
      <c r="AJ714"/>
      <c r="AK714" s="14"/>
    </row>
    <row r="715" spans="4:37" ht="14.25" customHeight="1" x14ac:dyDescent="0.35">
      <c r="D715"/>
      <c r="H715" s="8"/>
      <c r="J715"/>
      <c r="K715"/>
      <c r="L715"/>
      <c r="Q715" s="1"/>
      <c r="Y715" s="4"/>
      <c r="AJ715"/>
      <c r="AK715" s="14"/>
    </row>
    <row r="716" spans="4:37" ht="14.25" customHeight="1" x14ac:dyDescent="0.35">
      <c r="D716"/>
      <c r="H716" s="8"/>
      <c r="J716"/>
      <c r="K716"/>
      <c r="L716"/>
      <c r="Q716" s="1"/>
      <c r="Y716" s="4"/>
      <c r="AJ716"/>
      <c r="AK716" s="14"/>
    </row>
    <row r="717" spans="4:37" ht="14.25" customHeight="1" x14ac:dyDescent="0.35">
      <c r="D717"/>
      <c r="H717" s="8"/>
      <c r="J717"/>
      <c r="K717"/>
      <c r="L717"/>
      <c r="Q717" s="1"/>
      <c r="Y717" s="4"/>
      <c r="AJ717"/>
      <c r="AK717" s="14"/>
    </row>
    <row r="718" spans="4:37" ht="14.25" customHeight="1" x14ac:dyDescent="0.35">
      <c r="D718"/>
      <c r="H718" s="8"/>
      <c r="J718"/>
      <c r="K718"/>
      <c r="L718"/>
      <c r="Q718" s="1"/>
      <c r="Y718" s="4"/>
      <c r="AJ718"/>
      <c r="AK718" s="14"/>
    </row>
    <row r="719" spans="4:37" ht="14.25" customHeight="1" x14ac:dyDescent="0.35">
      <c r="D719"/>
      <c r="H719" s="8"/>
      <c r="J719"/>
      <c r="K719"/>
      <c r="L719"/>
      <c r="Q719" s="1"/>
      <c r="Y719" s="4"/>
      <c r="AJ719"/>
      <c r="AK719" s="14"/>
    </row>
    <row r="720" spans="4:37" ht="14.25" customHeight="1" x14ac:dyDescent="0.35">
      <c r="D720"/>
      <c r="H720" s="8"/>
      <c r="J720"/>
      <c r="K720"/>
      <c r="L720"/>
      <c r="Q720" s="1"/>
      <c r="Y720" s="4"/>
      <c r="AJ720"/>
      <c r="AK720" s="14"/>
    </row>
    <row r="721" spans="4:37" ht="14.25" customHeight="1" x14ac:dyDescent="0.35">
      <c r="D721"/>
      <c r="H721" s="8"/>
      <c r="J721"/>
      <c r="K721"/>
      <c r="L721"/>
      <c r="Q721" s="1"/>
      <c r="Y721" s="4"/>
      <c r="AJ721"/>
      <c r="AK721" s="14"/>
    </row>
    <row r="722" spans="4:37" ht="14.25" customHeight="1" x14ac:dyDescent="0.35">
      <c r="D722"/>
      <c r="H722" s="8"/>
      <c r="J722"/>
      <c r="K722"/>
      <c r="L722"/>
      <c r="Q722" s="1"/>
      <c r="Y722" s="4"/>
      <c r="AJ722"/>
      <c r="AK722" s="14"/>
    </row>
    <row r="723" spans="4:37" ht="14.25" customHeight="1" x14ac:dyDescent="0.35">
      <c r="D723"/>
      <c r="H723" s="8"/>
      <c r="J723"/>
      <c r="K723"/>
      <c r="L723"/>
      <c r="Q723" s="1"/>
      <c r="Y723" s="4"/>
      <c r="AJ723"/>
      <c r="AK723" s="14"/>
    </row>
    <row r="724" spans="4:37" ht="14.25" customHeight="1" x14ac:dyDescent="0.35">
      <c r="D724"/>
      <c r="H724" s="8"/>
      <c r="J724"/>
      <c r="K724"/>
      <c r="L724"/>
      <c r="Q724" s="1"/>
      <c r="Y724" s="4"/>
      <c r="AJ724"/>
      <c r="AK724" s="14"/>
    </row>
    <row r="725" spans="4:37" ht="14.25" customHeight="1" x14ac:dyDescent="0.35">
      <c r="D725"/>
      <c r="H725" s="8"/>
      <c r="J725"/>
      <c r="K725"/>
      <c r="L725"/>
      <c r="Q725" s="1"/>
      <c r="Y725" s="4"/>
      <c r="AJ725"/>
      <c r="AK725" s="14"/>
    </row>
    <row r="726" spans="4:37" ht="14.25" customHeight="1" x14ac:dyDescent="0.35">
      <c r="D726"/>
      <c r="H726" s="8"/>
      <c r="J726"/>
      <c r="K726"/>
      <c r="L726"/>
      <c r="Q726" s="1"/>
      <c r="Y726" s="4"/>
      <c r="AJ726"/>
      <c r="AK726" s="14"/>
    </row>
    <row r="727" spans="4:37" ht="14.25" customHeight="1" x14ac:dyDescent="0.35">
      <c r="D727"/>
      <c r="H727" s="8"/>
      <c r="J727"/>
      <c r="K727"/>
      <c r="L727"/>
      <c r="Q727" s="1"/>
      <c r="Y727" s="4"/>
      <c r="AJ727"/>
      <c r="AK727" s="14"/>
    </row>
    <row r="728" spans="4:37" ht="14.25" customHeight="1" x14ac:dyDescent="0.35">
      <c r="D728"/>
      <c r="H728" s="8"/>
      <c r="J728"/>
      <c r="K728"/>
      <c r="L728"/>
      <c r="Q728" s="1"/>
      <c r="Y728" s="4"/>
      <c r="AJ728"/>
      <c r="AK728" s="14"/>
    </row>
    <row r="729" spans="4:37" ht="14.25" customHeight="1" x14ac:dyDescent="0.35">
      <c r="D729"/>
      <c r="H729" s="8"/>
      <c r="J729"/>
      <c r="K729"/>
      <c r="L729"/>
      <c r="Q729" s="1"/>
      <c r="Y729" s="4"/>
      <c r="AJ729"/>
      <c r="AK729" s="14"/>
    </row>
    <row r="730" spans="4:37" ht="14.25" customHeight="1" x14ac:dyDescent="0.35">
      <c r="D730"/>
      <c r="H730" s="8"/>
      <c r="J730"/>
      <c r="K730"/>
      <c r="L730"/>
      <c r="Q730" s="1"/>
      <c r="Y730" s="4"/>
      <c r="AJ730"/>
      <c r="AK730" s="14"/>
    </row>
    <row r="731" spans="4:37" ht="14.25" customHeight="1" x14ac:dyDescent="0.35">
      <c r="D731"/>
      <c r="H731" s="8"/>
      <c r="J731"/>
      <c r="K731"/>
      <c r="L731"/>
      <c r="Q731" s="1"/>
      <c r="Y731" s="4"/>
      <c r="AJ731"/>
      <c r="AK731" s="14"/>
    </row>
    <row r="732" spans="4:37" ht="14.25" customHeight="1" x14ac:dyDescent="0.35">
      <c r="D732"/>
      <c r="H732" s="8"/>
      <c r="J732"/>
      <c r="K732"/>
      <c r="L732"/>
      <c r="Q732" s="1"/>
      <c r="Y732" s="4"/>
      <c r="AJ732"/>
      <c r="AK732" s="14"/>
    </row>
    <row r="733" spans="4:37" ht="14.25" customHeight="1" x14ac:dyDescent="0.35">
      <c r="D733"/>
      <c r="H733" s="8"/>
      <c r="J733"/>
      <c r="K733"/>
      <c r="L733"/>
      <c r="Q733" s="1"/>
      <c r="Y733" s="4"/>
      <c r="AJ733"/>
      <c r="AK733" s="14"/>
    </row>
    <row r="734" spans="4:37" ht="14.25" customHeight="1" x14ac:dyDescent="0.35">
      <c r="D734"/>
      <c r="H734" s="8"/>
      <c r="J734"/>
      <c r="K734"/>
      <c r="L734"/>
      <c r="Q734" s="1"/>
      <c r="Y734" s="4"/>
      <c r="AJ734"/>
      <c r="AK734" s="14"/>
    </row>
    <row r="735" spans="4:37" ht="14.25" customHeight="1" x14ac:dyDescent="0.35">
      <c r="D735"/>
      <c r="H735" s="8"/>
      <c r="J735"/>
      <c r="K735"/>
      <c r="L735"/>
      <c r="Q735" s="1"/>
      <c r="Y735" s="4"/>
      <c r="AJ735"/>
      <c r="AK735" s="14"/>
    </row>
    <row r="736" spans="4:37" ht="14.25" customHeight="1" x14ac:dyDescent="0.35">
      <c r="D736"/>
      <c r="H736" s="8"/>
      <c r="J736"/>
      <c r="K736"/>
      <c r="L736"/>
      <c r="Q736" s="1"/>
      <c r="Y736" s="4"/>
      <c r="AJ736"/>
      <c r="AK736" s="14"/>
    </row>
    <row r="737" spans="4:37" ht="14.25" customHeight="1" x14ac:dyDescent="0.35">
      <c r="D737"/>
      <c r="H737" s="8"/>
      <c r="J737"/>
      <c r="K737"/>
      <c r="L737"/>
      <c r="Q737" s="1"/>
      <c r="Y737" s="4"/>
      <c r="AJ737"/>
      <c r="AK737" s="14"/>
    </row>
    <row r="738" spans="4:37" ht="14.25" customHeight="1" x14ac:dyDescent="0.35">
      <c r="D738"/>
      <c r="H738" s="8"/>
      <c r="J738"/>
      <c r="K738"/>
      <c r="L738"/>
      <c r="Q738" s="1"/>
      <c r="Y738" s="4"/>
      <c r="AJ738"/>
      <c r="AK738" s="14"/>
    </row>
    <row r="739" spans="4:37" ht="14.25" customHeight="1" x14ac:dyDescent="0.35">
      <c r="D739"/>
      <c r="H739" s="8"/>
      <c r="J739"/>
      <c r="K739"/>
      <c r="L739"/>
      <c r="Q739" s="1"/>
      <c r="Y739" s="4"/>
      <c r="AJ739"/>
      <c r="AK739" s="14"/>
    </row>
    <row r="740" spans="4:37" ht="14.25" customHeight="1" x14ac:dyDescent="0.35">
      <c r="D740"/>
      <c r="H740" s="8"/>
      <c r="J740"/>
      <c r="K740"/>
      <c r="L740"/>
      <c r="Q740" s="1"/>
      <c r="Y740" s="4"/>
      <c r="AJ740"/>
      <c r="AK740" s="14"/>
    </row>
    <row r="741" spans="4:37" ht="14.25" customHeight="1" x14ac:dyDescent="0.35">
      <c r="D741"/>
      <c r="H741" s="8"/>
      <c r="J741"/>
      <c r="K741"/>
      <c r="L741"/>
      <c r="Q741" s="1"/>
      <c r="Y741" s="4"/>
      <c r="AJ741"/>
      <c r="AK741" s="14"/>
    </row>
    <row r="742" spans="4:37" ht="14.25" customHeight="1" x14ac:dyDescent="0.35">
      <c r="D742"/>
      <c r="H742" s="8"/>
      <c r="J742"/>
      <c r="K742"/>
      <c r="L742"/>
      <c r="Q742" s="1"/>
      <c r="Y742" s="4"/>
      <c r="AJ742"/>
      <c r="AK742" s="14"/>
    </row>
    <row r="743" spans="4:37" ht="14.25" customHeight="1" x14ac:dyDescent="0.35">
      <c r="D743"/>
      <c r="H743" s="8"/>
      <c r="J743"/>
      <c r="K743"/>
      <c r="L743"/>
      <c r="Q743" s="1"/>
      <c r="Y743" s="4"/>
      <c r="AJ743"/>
      <c r="AK743" s="14"/>
    </row>
    <row r="744" spans="4:37" ht="14.25" customHeight="1" x14ac:dyDescent="0.35">
      <c r="D744"/>
      <c r="H744" s="8"/>
      <c r="J744"/>
      <c r="K744"/>
      <c r="L744"/>
      <c r="Q744" s="1"/>
      <c r="Y744" s="4"/>
      <c r="AJ744"/>
      <c r="AK744" s="14"/>
    </row>
    <row r="745" spans="4:37" ht="14.25" customHeight="1" x14ac:dyDescent="0.35">
      <c r="D745"/>
      <c r="H745" s="8"/>
      <c r="J745"/>
      <c r="K745"/>
      <c r="L745"/>
      <c r="Q745" s="1"/>
      <c r="Y745" s="4"/>
      <c r="AJ745"/>
      <c r="AK745" s="14"/>
    </row>
    <row r="746" spans="4:37" ht="14.25" customHeight="1" x14ac:dyDescent="0.35">
      <c r="D746"/>
      <c r="H746" s="8"/>
      <c r="J746"/>
      <c r="K746"/>
      <c r="L746"/>
      <c r="Q746" s="1"/>
      <c r="Y746" s="4"/>
      <c r="AJ746"/>
      <c r="AK746" s="14"/>
    </row>
    <row r="747" spans="4:37" ht="14.25" customHeight="1" x14ac:dyDescent="0.35">
      <c r="D747"/>
      <c r="H747" s="8"/>
      <c r="J747"/>
      <c r="K747"/>
      <c r="L747"/>
      <c r="Q747" s="1"/>
      <c r="Y747" s="4"/>
      <c r="AJ747"/>
      <c r="AK747" s="14"/>
    </row>
    <row r="748" spans="4:37" ht="14.25" customHeight="1" x14ac:dyDescent="0.35">
      <c r="D748"/>
      <c r="H748" s="8"/>
      <c r="J748"/>
      <c r="K748"/>
      <c r="L748"/>
      <c r="Q748" s="1"/>
      <c r="Y748" s="4"/>
      <c r="AJ748"/>
      <c r="AK748" s="14"/>
    </row>
    <row r="749" spans="4:37" ht="14.25" customHeight="1" x14ac:dyDescent="0.35">
      <c r="D749"/>
      <c r="H749" s="8"/>
      <c r="J749"/>
      <c r="K749"/>
      <c r="L749"/>
      <c r="Q749" s="1"/>
      <c r="Y749" s="4"/>
      <c r="AJ749"/>
      <c r="AK749" s="14"/>
    </row>
    <row r="750" spans="4:37" ht="14.25" customHeight="1" x14ac:dyDescent="0.35">
      <c r="D750"/>
      <c r="H750" s="8"/>
      <c r="J750"/>
      <c r="K750"/>
      <c r="L750"/>
      <c r="Q750" s="1"/>
      <c r="Y750" s="4"/>
      <c r="AJ750"/>
      <c r="AK750" s="14"/>
    </row>
    <row r="751" spans="4:37" ht="14.25" customHeight="1" x14ac:dyDescent="0.35">
      <c r="D751"/>
      <c r="H751" s="8"/>
      <c r="J751"/>
      <c r="K751"/>
      <c r="L751"/>
      <c r="Q751" s="1"/>
      <c r="Y751" s="4"/>
      <c r="AJ751"/>
      <c r="AK751" s="14"/>
    </row>
    <row r="752" spans="4:37" ht="14.25" customHeight="1" x14ac:dyDescent="0.35">
      <c r="D752"/>
      <c r="H752" s="8"/>
      <c r="J752"/>
      <c r="K752"/>
      <c r="L752"/>
      <c r="Q752" s="1"/>
      <c r="Y752" s="4"/>
      <c r="AJ752"/>
      <c r="AK752" s="14"/>
    </row>
    <row r="753" spans="4:37" ht="14.25" customHeight="1" x14ac:dyDescent="0.35">
      <c r="D753"/>
      <c r="H753" s="8"/>
      <c r="J753"/>
      <c r="K753"/>
      <c r="L753"/>
      <c r="Q753" s="1"/>
      <c r="Y753" s="4"/>
      <c r="AJ753"/>
      <c r="AK753" s="14"/>
    </row>
    <row r="754" spans="4:37" ht="14.25" customHeight="1" x14ac:dyDescent="0.35">
      <c r="D754"/>
      <c r="H754" s="8"/>
      <c r="J754"/>
      <c r="K754"/>
      <c r="L754"/>
      <c r="Q754" s="1"/>
      <c r="Y754" s="4"/>
      <c r="AJ754"/>
      <c r="AK754" s="14"/>
    </row>
    <row r="755" spans="4:37" ht="14.25" customHeight="1" x14ac:dyDescent="0.35">
      <c r="D755"/>
      <c r="H755" s="8"/>
      <c r="J755"/>
      <c r="K755"/>
      <c r="L755"/>
      <c r="Q755" s="1"/>
      <c r="Y755" s="4"/>
      <c r="AJ755"/>
      <c r="AK755" s="14"/>
    </row>
    <row r="756" spans="4:37" ht="14.25" customHeight="1" x14ac:dyDescent="0.35">
      <c r="D756"/>
      <c r="H756" s="8"/>
      <c r="J756"/>
      <c r="K756"/>
      <c r="L756"/>
      <c r="Q756" s="1"/>
      <c r="Y756" s="4"/>
      <c r="AJ756"/>
      <c r="AK756" s="14"/>
    </row>
    <row r="757" spans="4:37" ht="14.25" customHeight="1" x14ac:dyDescent="0.35">
      <c r="D757"/>
      <c r="H757" s="8"/>
      <c r="J757"/>
      <c r="K757"/>
      <c r="L757"/>
      <c r="Q757" s="1"/>
      <c r="Y757" s="4"/>
      <c r="AJ757"/>
      <c r="AK757" s="14"/>
    </row>
    <row r="758" spans="4:37" ht="14.25" customHeight="1" x14ac:dyDescent="0.35">
      <c r="D758"/>
      <c r="H758" s="8"/>
      <c r="J758"/>
      <c r="K758"/>
      <c r="L758"/>
      <c r="Q758" s="1"/>
      <c r="Y758" s="4"/>
      <c r="AJ758"/>
      <c r="AK758" s="14"/>
    </row>
    <row r="759" spans="4:37" ht="14.25" customHeight="1" x14ac:dyDescent="0.35">
      <c r="D759"/>
      <c r="H759" s="8"/>
      <c r="J759"/>
      <c r="K759"/>
      <c r="L759"/>
      <c r="Q759" s="1"/>
      <c r="Y759" s="4"/>
      <c r="AJ759"/>
      <c r="AK759" s="14"/>
    </row>
    <row r="760" spans="4:37" ht="14.25" customHeight="1" x14ac:dyDescent="0.35">
      <c r="D760"/>
      <c r="H760" s="8"/>
      <c r="J760"/>
      <c r="K760"/>
      <c r="L760"/>
      <c r="Q760" s="1"/>
      <c r="Y760" s="4"/>
      <c r="AJ760"/>
      <c r="AK760" s="14"/>
    </row>
    <row r="761" spans="4:37" ht="14.25" customHeight="1" x14ac:dyDescent="0.35">
      <c r="D761"/>
      <c r="H761" s="8"/>
      <c r="J761"/>
      <c r="K761"/>
      <c r="L761"/>
      <c r="Q761" s="1"/>
      <c r="Y761" s="4"/>
      <c r="AJ761"/>
      <c r="AK761" s="14"/>
    </row>
    <row r="762" spans="4:37" ht="14.25" customHeight="1" x14ac:dyDescent="0.35">
      <c r="D762"/>
      <c r="H762" s="8"/>
      <c r="J762"/>
      <c r="K762"/>
      <c r="L762"/>
      <c r="Q762" s="1"/>
      <c r="Y762" s="4"/>
      <c r="AJ762"/>
      <c r="AK762" s="14"/>
    </row>
    <row r="763" spans="4:37" ht="14.25" customHeight="1" x14ac:dyDescent="0.35">
      <c r="D763"/>
      <c r="H763" s="8"/>
      <c r="J763"/>
      <c r="K763"/>
      <c r="L763"/>
      <c r="Q763" s="1"/>
      <c r="Y763" s="4"/>
      <c r="AJ763"/>
      <c r="AK763" s="14"/>
    </row>
    <row r="764" spans="4:37" ht="14.25" customHeight="1" x14ac:dyDescent="0.35">
      <c r="D764"/>
      <c r="H764" s="8"/>
      <c r="J764"/>
      <c r="K764"/>
      <c r="L764"/>
      <c r="Q764" s="1"/>
      <c r="Y764" s="4"/>
      <c r="AJ764"/>
      <c r="AK764" s="14"/>
    </row>
    <row r="765" spans="4:37" ht="14.25" customHeight="1" x14ac:dyDescent="0.35">
      <c r="D765"/>
      <c r="H765" s="8"/>
      <c r="J765"/>
      <c r="K765"/>
      <c r="L765"/>
      <c r="Q765" s="1"/>
      <c r="Y765" s="4"/>
      <c r="AJ765"/>
      <c r="AK765" s="14"/>
    </row>
    <row r="766" spans="4:37" ht="14.25" customHeight="1" x14ac:dyDescent="0.35">
      <c r="D766"/>
      <c r="H766" s="8"/>
      <c r="J766"/>
      <c r="K766"/>
      <c r="L766"/>
      <c r="Q766" s="1"/>
      <c r="Y766" s="4"/>
      <c r="AJ766"/>
      <c r="AK766" s="14"/>
    </row>
    <row r="767" spans="4:37" ht="14.25" customHeight="1" x14ac:dyDescent="0.35">
      <c r="D767"/>
      <c r="H767" s="8"/>
      <c r="J767"/>
      <c r="K767"/>
      <c r="L767"/>
      <c r="Q767" s="1"/>
      <c r="Y767" s="4"/>
      <c r="AJ767"/>
      <c r="AK767" s="14"/>
    </row>
    <row r="768" spans="4:37" ht="14.25" customHeight="1" x14ac:dyDescent="0.35">
      <c r="D768"/>
      <c r="H768" s="8"/>
      <c r="J768"/>
      <c r="K768"/>
      <c r="L768"/>
      <c r="Q768" s="1"/>
      <c r="Y768" s="4"/>
      <c r="AJ768"/>
      <c r="AK768" s="14"/>
    </row>
    <row r="769" spans="4:37" ht="14.25" customHeight="1" x14ac:dyDescent="0.35">
      <c r="D769"/>
      <c r="H769" s="8"/>
      <c r="J769"/>
      <c r="K769"/>
      <c r="L769"/>
      <c r="Q769" s="1"/>
      <c r="Y769" s="4"/>
      <c r="AJ769"/>
      <c r="AK769" s="14"/>
    </row>
    <row r="770" spans="4:37" ht="14.25" customHeight="1" x14ac:dyDescent="0.35">
      <c r="D770"/>
      <c r="H770" s="8"/>
      <c r="J770"/>
      <c r="K770"/>
      <c r="L770"/>
      <c r="Q770" s="1"/>
      <c r="Y770" s="4"/>
      <c r="AJ770"/>
      <c r="AK770" s="14"/>
    </row>
    <row r="771" spans="4:37" ht="14.25" customHeight="1" x14ac:dyDescent="0.35">
      <c r="D771"/>
      <c r="H771" s="8"/>
      <c r="J771"/>
      <c r="K771"/>
      <c r="L771"/>
      <c r="Q771" s="1"/>
      <c r="Y771" s="4"/>
      <c r="AJ771"/>
      <c r="AK771" s="14"/>
    </row>
    <row r="772" spans="4:37" ht="14.25" customHeight="1" x14ac:dyDescent="0.35">
      <c r="D772"/>
      <c r="H772" s="8"/>
      <c r="J772"/>
      <c r="K772"/>
      <c r="L772"/>
      <c r="Q772" s="1"/>
      <c r="Y772" s="4"/>
      <c r="AJ772"/>
      <c r="AK772" s="14"/>
    </row>
    <row r="773" spans="4:37" ht="14.25" customHeight="1" x14ac:dyDescent="0.35">
      <c r="D773"/>
      <c r="H773" s="8"/>
      <c r="J773"/>
      <c r="K773"/>
      <c r="L773"/>
      <c r="Q773" s="1"/>
      <c r="Y773" s="4"/>
      <c r="AJ773"/>
      <c r="AK773" s="14"/>
    </row>
    <row r="774" spans="4:37" ht="14.25" customHeight="1" x14ac:dyDescent="0.35">
      <c r="D774"/>
      <c r="H774" s="8"/>
      <c r="J774"/>
      <c r="K774"/>
      <c r="L774"/>
      <c r="Q774" s="1"/>
      <c r="Y774" s="4"/>
      <c r="AJ774"/>
      <c r="AK774" s="14"/>
    </row>
    <row r="775" spans="4:37" ht="14.25" customHeight="1" x14ac:dyDescent="0.35">
      <c r="D775"/>
      <c r="H775" s="8"/>
      <c r="J775"/>
      <c r="K775"/>
      <c r="L775"/>
      <c r="Q775" s="1"/>
      <c r="Y775" s="4"/>
      <c r="AJ775"/>
      <c r="AK775" s="14"/>
    </row>
    <row r="776" spans="4:37" ht="14.25" customHeight="1" x14ac:dyDescent="0.35">
      <c r="D776"/>
      <c r="H776" s="8"/>
      <c r="J776"/>
      <c r="K776"/>
      <c r="L776"/>
      <c r="Q776" s="1"/>
      <c r="Y776" s="4"/>
      <c r="AJ776"/>
      <c r="AK776" s="14"/>
    </row>
    <row r="777" spans="4:37" ht="14.25" customHeight="1" x14ac:dyDescent="0.35">
      <c r="D777"/>
      <c r="H777" s="8"/>
      <c r="J777"/>
      <c r="K777"/>
      <c r="L777"/>
      <c r="Q777" s="1"/>
      <c r="Y777" s="4"/>
      <c r="AJ777"/>
      <c r="AK777" s="14"/>
    </row>
    <row r="778" spans="4:37" ht="14.25" customHeight="1" x14ac:dyDescent="0.35">
      <c r="D778"/>
      <c r="H778" s="8"/>
      <c r="J778"/>
      <c r="K778"/>
      <c r="L778"/>
      <c r="Q778" s="1"/>
      <c r="Y778" s="4"/>
      <c r="AJ778"/>
      <c r="AK778" s="14"/>
    </row>
    <row r="779" spans="4:37" ht="14.25" customHeight="1" x14ac:dyDescent="0.35">
      <c r="D779"/>
      <c r="H779" s="8"/>
      <c r="J779"/>
      <c r="K779"/>
      <c r="L779"/>
      <c r="Q779" s="1"/>
      <c r="Y779" s="4"/>
      <c r="AJ779"/>
      <c r="AK779" s="14"/>
    </row>
    <row r="780" spans="4:37" ht="14.25" customHeight="1" x14ac:dyDescent="0.35">
      <c r="D780"/>
      <c r="H780" s="8"/>
      <c r="J780"/>
      <c r="K780"/>
      <c r="L780"/>
      <c r="Q780" s="1"/>
      <c r="Y780" s="4"/>
      <c r="AJ780"/>
      <c r="AK780" s="14"/>
    </row>
    <row r="781" spans="4:37" ht="14.25" customHeight="1" x14ac:dyDescent="0.35">
      <c r="D781"/>
      <c r="H781" s="8"/>
      <c r="J781"/>
      <c r="K781"/>
      <c r="L781"/>
      <c r="Q781" s="1"/>
      <c r="Y781" s="4"/>
      <c r="AJ781"/>
      <c r="AK781" s="14"/>
    </row>
    <row r="782" spans="4:37" ht="14.25" customHeight="1" x14ac:dyDescent="0.35">
      <c r="D782"/>
      <c r="H782" s="8"/>
      <c r="J782"/>
      <c r="K782"/>
      <c r="L782"/>
      <c r="Q782" s="1"/>
      <c r="Y782" s="4"/>
      <c r="AJ782"/>
      <c r="AK782" s="14"/>
    </row>
    <row r="783" spans="4:37" ht="14.25" customHeight="1" x14ac:dyDescent="0.35">
      <c r="D783"/>
      <c r="H783" s="8"/>
      <c r="J783"/>
      <c r="K783"/>
      <c r="L783"/>
      <c r="Q783" s="1"/>
      <c r="Y783" s="4"/>
      <c r="AJ783"/>
      <c r="AK783" s="14"/>
    </row>
    <row r="784" spans="4:37" ht="14.25" customHeight="1" x14ac:dyDescent="0.35">
      <c r="D784"/>
      <c r="H784" s="8"/>
      <c r="J784"/>
      <c r="K784"/>
      <c r="L784"/>
      <c r="Q784" s="1"/>
      <c r="Y784" s="4"/>
      <c r="AJ784"/>
      <c r="AK784" s="14"/>
    </row>
    <row r="785" spans="4:37" ht="14.25" customHeight="1" x14ac:dyDescent="0.35">
      <c r="D785"/>
      <c r="H785" s="8"/>
      <c r="J785"/>
      <c r="K785"/>
      <c r="L785"/>
      <c r="Q785" s="1"/>
      <c r="Y785" s="4"/>
      <c r="AJ785"/>
      <c r="AK785" s="14"/>
    </row>
    <row r="786" spans="4:37" ht="14.25" customHeight="1" x14ac:dyDescent="0.35">
      <c r="D786"/>
      <c r="H786" s="8"/>
      <c r="J786"/>
      <c r="K786"/>
      <c r="L786"/>
      <c r="Q786" s="1"/>
      <c r="Y786" s="4"/>
      <c r="AJ786"/>
      <c r="AK786" s="14"/>
    </row>
    <row r="787" spans="4:37" ht="14.25" customHeight="1" x14ac:dyDescent="0.35">
      <c r="D787"/>
      <c r="H787" s="8"/>
      <c r="J787"/>
      <c r="K787"/>
      <c r="L787"/>
      <c r="Q787" s="1"/>
      <c r="Y787" s="4"/>
      <c r="AJ787"/>
      <c r="AK787" s="14"/>
    </row>
    <row r="788" spans="4:37" ht="14.25" customHeight="1" x14ac:dyDescent="0.35">
      <c r="D788"/>
      <c r="H788" s="8"/>
      <c r="J788"/>
      <c r="K788"/>
      <c r="L788"/>
      <c r="Q788" s="1"/>
      <c r="Y788" s="4"/>
      <c r="AJ788"/>
      <c r="AK788" s="14"/>
    </row>
    <row r="789" spans="4:37" ht="14.25" customHeight="1" x14ac:dyDescent="0.35">
      <c r="D789"/>
      <c r="H789" s="8"/>
      <c r="J789"/>
      <c r="K789"/>
      <c r="L789"/>
      <c r="Q789" s="1"/>
      <c r="Y789" s="4"/>
      <c r="AJ789"/>
      <c r="AK789" s="14"/>
    </row>
    <row r="790" spans="4:37" ht="14.25" customHeight="1" x14ac:dyDescent="0.35">
      <c r="D790"/>
      <c r="H790" s="8"/>
      <c r="J790"/>
      <c r="K790"/>
      <c r="L790"/>
      <c r="Q790" s="1"/>
      <c r="Y790" s="4"/>
      <c r="AJ790"/>
      <c r="AK790" s="14"/>
    </row>
    <row r="791" spans="4:37" ht="14.25" customHeight="1" x14ac:dyDescent="0.35">
      <c r="D791"/>
      <c r="H791" s="8"/>
      <c r="J791"/>
      <c r="K791"/>
      <c r="L791"/>
      <c r="Q791" s="1"/>
      <c r="Y791" s="4"/>
      <c r="AJ791"/>
      <c r="AK791" s="14"/>
    </row>
    <row r="792" spans="4:37" ht="14.25" customHeight="1" x14ac:dyDescent="0.35">
      <c r="D792"/>
      <c r="H792" s="8"/>
      <c r="J792"/>
      <c r="K792"/>
      <c r="L792"/>
      <c r="Q792" s="1"/>
      <c r="Y792" s="4"/>
      <c r="AJ792"/>
      <c r="AK792" s="14"/>
    </row>
    <row r="793" spans="4:37" ht="14.25" customHeight="1" x14ac:dyDescent="0.35">
      <c r="D793"/>
      <c r="H793" s="8"/>
      <c r="J793"/>
      <c r="K793"/>
      <c r="L793"/>
      <c r="Q793" s="1"/>
      <c r="Y793" s="4"/>
      <c r="AJ793"/>
      <c r="AK793" s="14"/>
    </row>
    <row r="794" spans="4:37" ht="14.25" customHeight="1" x14ac:dyDescent="0.35">
      <c r="D794"/>
      <c r="H794" s="8"/>
      <c r="J794"/>
      <c r="K794"/>
      <c r="L794"/>
      <c r="Q794" s="1"/>
      <c r="Y794" s="4"/>
      <c r="AJ794"/>
      <c r="AK794" s="14"/>
    </row>
    <row r="795" spans="4:37" ht="14.25" customHeight="1" x14ac:dyDescent="0.35">
      <c r="D795"/>
      <c r="H795" s="8"/>
      <c r="J795"/>
      <c r="K795"/>
      <c r="L795"/>
      <c r="Q795" s="1"/>
      <c r="Y795" s="4"/>
      <c r="AJ795"/>
      <c r="AK795" s="14"/>
    </row>
    <row r="796" spans="4:37" ht="14.25" customHeight="1" x14ac:dyDescent="0.35">
      <c r="D796"/>
      <c r="H796" s="8"/>
      <c r="J796"/>
      <c r="K796"/>
      <c r="L796"/>
      <c r="Q796" s="1"/>
      <c r="Y796" s="4"/>
      <c r="AJ796"/>
      <c r="AK796" s="14"/>
    </row>
    <row r="797" spans="4:37" ht="14.25" customHeight="1" x14ac:dyDescent="0.35">
      <c r="D797"/>
      <c r="H797" s="8"/>
      <c r="J797"/>
      <c r="K797"/>
      <c r="L797"/>
      <c r="Q797" s="1"/>
      <c r="Y797" s="4"/>
      <c r="AJ797"/>
      <c r="AK797" s="14"/>
    </row>
    <row r="798" spans="4:37" ht="14.25" customHeight="1" x14ac:dyDescent="0.35">
      <c r="D798"/>
      <c r="H798" s="8"/>
      <c r="J798"/>
      <c r="K798"/>
      <c r="L798"/>
      <c r="Q798" s="1"/>
      <c r="Y798" s="4"/>
      <c r="AJ798"/>
      <c r="AK798" s="14"/>
    </row>
    <row r="799" spans="4:37" ht="14.25" customHeight="1" x14ac:dyDescent="0.35">
      <c r="D799"/>
      <c r="H799" s="8"/>
      <c r="J799"/>
      <c r="K799"/>
      <c r="L799"/>
      <c r="Q799" s="1"/>
      <c r="Y799" s="4"/>
      <c r="AJ799"/>
      <c r="AK799" s="14"/>
    </row>
    <row r="800" spans="4:37" ht="14.25" customHeight="1" x14ac:dyDescent="0.35">
      <c r="D800"/>
      <c r="H800" s="8"/>
      <c r="J800"/>
      <c r="K800"/>
      <c r="L800"/>
      <c r="Q800" s="1"/>
      <c r="Y800" s="4"/>
      <c r="AJ800"/>
      <c r="AK800" s="14"/>
    </row>
    <row r="801" spans="4:37" ht="14.25" customHeight="1" x14ac:dyDescent="0.35">
      <c r="D801"/>
      <c r="H801" s="8"/>
      <c r="J801"/>
      <c r="K801"/>
      <c r="L801"/>
      <c r="Q801" s="1"/>
      <c r="Y801" s="4"/>
      <c r="AJ801"/>
      <c r="AK801" s="14"/>
    </row>
    <row r="802" spans="4:37" ht="14.25" customHeight="1" x14ac:dyDescent="0.35">
      <c r="D802"/>
      <c r="H802" s="8"/>
      <c r="J802"/>
      <c r="K802"/>
      <c r="L802"/>
      <c r="Q802" s="1"/>
      <c r="Y802" s="4"/>
      <c r="AJ802"/>
      <c r="AK802" s="14"/>
    </row>
    <row r="803" spans="4:37" ht="14.25" customHeight="1" x14ac:dyDescent="0.35">
      <c r="D803"/>
      <c r="H803" s="8"/>
      <c r="J803"/>
      <c r="K803"/>
      <c r="L803"/>
      <c r="Q803" s="1"/>
      <c r="Y803" s="4"/>
      <c r="AJ803"/>
      <c r="AK803" s="14"/>
    </row>
    <row r="804" spans="4:37" ht="14.25" customHeight="1" x14ac:dyDescent="0.35">
      <c r="D804"/>
      <c r="H804" s="8"/>
      <c r="J804"/>
      <c r="K804"/>
      <c r="L804"/>
      <c r="Q804" s="1"/>
      <c r="Y804" s="4"/>
      <c r="AJ804"/>
      <c r="AK804" s="14"/>
    </row>
    <row r="805" spans="4:37" ht="14.25" customHeight="1" x14ac:dyDescent="0.35">
      <c r="D805"/>
      <c r="H805" s="8"/>
      <c r="J805"/>
      <c r="K805"/>
      <c r="L805"/>
      <c r="Q805" s="1"/>
      <c r="Y805" s="4"/>
      <c r="AJ805"/>
      <c r="AK805" s="14"/>
    </row>
    <row r="806" spans="4:37" ht="14.25" customHeight="1" x14ac:dyDescent="0.35">
      <c r="D806"/>
      <c r="H806" s="8"/>
      <c r="J806"/>
      <c r="K806"/>
      <c r="L806"/>
      <c r="Q806" s="1"/>
      <c r="Y806" s="4"/>
      <c r="AJ806"/>
      <c r="AK806" s="14"/>
    </row>
    <row r="807" spans="4:37" ht="14.25" customHeight="1" x14ac:dyDescent="0.35">
      <c r="D807"/>
      <c r="H807" s="8"/>
      <c r="J807"/>
      <c r="K807"/>
      <c r="L807"/>
      <c r="Q807" s="1"/>
      <c r="Y807" s="4"/>
      <c r="AJ807"/>
      <c r="AK807" s="14"/>
    </row>
    <row r="808" spans="4:37" ht="14.25" customHeight="1" x14ac:dyDescent="0.35">
      <c r="D808"/>
      <c r="H808" s="8"/>
      <c r="J808"/>
      <c r="K808"/>
      <c r="L808"/>
      <c r="Q808" s="1"/>
      <c r="Y808" s="4"/>
      <c r="AJ808"/>
      <c r="AK808" s="14"/>
    </row>
    <row r="809" spans="4:37" ht="14.25" customHeight="1" x14ac:dyDescent="0.35">
      <c r="D809"/>
      <c r="H809" s="8"/>
      <c r="J809"/>
      <c r="K809"/>
      <c r="L809"/>
      <c r="Q809" s="1"/>
      <c r="Y809" s="4"/>
      <c r="AJ809"/>
      <c r="AK809" s="14"/>
    </row>
    <row r="810" spans="4:37" ht="14.25" customHeight="1" x14ac:dyDescent="0.35">
      <c r="D810"/>
      <c r="H810" s="8"/>
      <c r="J810"/>
      <c r="K810"/>
      <c r="L810"/>
      <c r="Q810" s="1"/>
      <c r="Y810" s="4"/>
      <c r="AJ810"/>
      <c r="AK810" s="14"/>
    </row>
    <row r="811" spans="4:37" ht="14.25" customHeight="1" x14ac:dyDescent="0.35">
      <c r="D811"/>
      <c r="H811" s="8"/>
      <c r="J811"/>
      <c r="K811"/>
      <c r="L811"/>
      <c r="Q811" s="1"/>
      <c r="Y811" s="4"/>
      <c r="AJ811"/>
      <c r="AK811" s="14"/>
    </row>
    <row r="812" spans="4:37" ht="14.25" customHeight="1" x14ac:dyDescent="0.35">
      <c r="D812"/>
      <c r="H812" s="8"/>
      <c r="J812"/>
      <c r="K812"/>
      <c r="L812"/>
      <c r="Q812" s="1"/>
      <c r="Y812" s="4"/>
      <c r="AJ812"/>
      <c r="AK812" s="14"/>
    </row>
    <row r="813" spans="4:37" ht="14.25" customHeight="1" x14ac:dyDescent="0.35">
      <c r="D813"/>
      <c r="H813" s="8"/>
      <c r="J813"/>
      <c r="K813"/>
      <c r="L813"/>
      <c r="Q813" s="1"/>
      <c r="Y813" s="4"/>
      <c r="AJ813"/>
      <c r="AK813" s="14"/>
    </row>
    <row r="814" spans="4:37" ht="14.25" customHeight="1" x14ac:dyDescent="0.35">
      <c r="D814"/>
      <c r="H814" s="8"/>
      <c r="J814"/>
      <c r="K814"/>
      <c r="L814"/>
      <c r="Q814" s="1"/>
      <c r="Y814" s="4"/>
      <c r="AJ814"/>
      <c r="AK814" s="14"/>
    </row>
    <row r="815" spans="4:37" ht="14.25" customHeight="1" x14ac:dyDescent="0.35">
      <c r="D815"/>
      <c r="H815" s="8"/>
      <c r="J815"/>
      <c r="K815"/>
      <c r="L815"/>
      <c r="Q815" s="1"/>
      <c r="Y815" s="4"/>
      <c r="AJ815"/>
      <c r="AK815" s="14"/>
    </row>
    <row r="816" spans="4:37" ht="14.25" customHeight="1" x14ac:dyDescent="0.35">
      <c r="D816"/>
      <c r="H816" s="8"/>
      <c r="J816"/>
      <c r="K816"/>
      <c r="L816"/>
      <c r="Q816" s="1"/>
      <c r="Y816" s="4"/>
      <c r="AJ816"/>
      <c r="AK816" s="14"/>
    </row>
    <row r="817" spans="4:37" ht="14.25" customHeight="1" x14ac:dyDescent="0.35">
      <c r="D817"/>
      <c r="H817" s="8"/>
      <c r="J817"/>
      <c r="K817"/>
      <c r="L817"/>
      <c r="Q817" s="1"/>
      <c r="Y817" s="4"/>
      <c r="AJ817"/>
      <c r="AK817" s="14"/>
    </row>
    <row r="818" spans="4:37" ht="14.25" customHeight="1" x14ac:dyDescent="0.35">
      <c r="D818"/>
      <c r="H818" s="8"/>
      <c r="J818"/>
      <c r="K818"/>
      <c r="L818"/>
      <c r="Q818" s="1"/>
      <c r="Y818" s="4"/>
      <c r="AJ818"/>
      <c r="AK818" s="14"/>
    </row>
    <row r="819" spans="4:37" ht="14.25" customHeight="1" x14ac:dyDescent="0.35">
      <c r="D819"/>
      <c r="H819" s="8"/>
      <c r="J819"/>
      <c r="K819"/>
      <c r="L819"/>
      <c r="Q819" s="1"/>
      <c r="Y819" s="4"/>
      <c r="AJ819"/>
      <c r="AK819" s="14"/>
    </row>
    <row r="820" spans="4:37" ht="14.25" customHeight="1" x14ac:dyDescent="0.35">
      <c r="D820"/>
      <c r="H820" s="8"/>
      <c r="J820"/>
      <c r="K820"/>
      <c r="L820"/>
      <c r="Q820" s="1"/>
      <c r="Y820" s="4"/>
      <c r="AJ820"/>
      <c r="AK820" s="14"/>
    </row>
    <row r="821" spans="4:37" ht="14.25" customHeight="1" x14ac:dyDescent="0.35">
      <c r="D821"/>
      <c r="H821" s="8"/>
      <c r="J821"/>
      <c r="K821"/>
      <c r="L821"/>
      <c r="Q821" s="1"/>
      <c r="Y821" s="4"/>
      <c r="AJ821"/>
      <c r="AK821" s="14"/>
    </row>
    <row r="822" spans="4:37" ht="14.25" customHeight="1" x14ac:dyDescent="0.35">
      <c r="D822"/>
      <c r="H822" s="8"/>
      <c r="J822"/>
      <c r="K822"/>
      <c r="L822"/>
      <c r="Q822" s="1"/>
      <c r="Y822" s="4"/>
      <c r="AJ822"/>
      <c r="AK822" s="14"/>
    </row>
    <row r="823" spans="4:37" ht="14.25" customHeight="1" x14ac:dyDescent="0.35">
      <c r="D823"/>
      <c r="H823" s="8"/>
      <c r="J823"/>
      <c r="K823"/>
      <c r="L823"/>
      <c r="Q823" s="1"/>
      <c r="Y823" s="4"/>
      <c r="AJ823"/>
      <c r="AK823" s="14"/>
    </row>
    <row r="824" spans="4:37" ht="14.25" customHeight="1" x14ac:dyDescent="0.35">
      <c r="D824"/>
      <c r="H824" s="8"/>
      <c r="J824"/>
      <c r="K824"/>
      <c r="L824"/>
      <c r="Q824" s="1"/>
      <c r="Y824" s="4"/>
      <c r="AJ824"/>
      <c r="AK824" s="14"/>
    </row>
    <row r="825" spans="4:37" ht="14.25" customHeight="1" x14ac:dyDescent="0.35">
      <c r="D825"/>
      <c r="H825" s="8"/>
      <c r="J825"/>
      <c r="K825"/>
      <c r="L825"/>
      <c r="Q825" s="1"/>
      <c r="Y825" s="4"/>
      <c r="AJ825"/>
      <c r="AK825" s="14"/>
    </row>
    <row r="826" spans="4:37" ht="14.25" customHeight="1" x14ac:dyDescent="0.35">
      <c r="D826"/>
      <c r="H826" s="8"/>
      <c r="J826"/>
      <c r="K826"/>
      <c r="L826"/>
      <c r="Q826" s="1"/>
      <c r="Y826" s="4"/>
      <c r="AJ826"/>
      <c r="AK826" s="14"/>
    </row>
    <row r="827" spans="4:37" ht="14.25" customHeight="1" x14ac:dyDescent="0.35">
      <c r="D827"/>
      <c r="H827" s="8"/>
      <c r="J827"/>
      <c r="K827"/>
      <c r="L827"/>
      <c r="Q827" s="1"/>
      <c r="Y827" s="4"/>
      <c r="AJ827"/>
      <c r="AK827" s="14"/>
    </row>
    <row r="828" spans="4:37" ht="14.25" customHeight="1" x14ac:dyDescent="0.35">
      <c r="D828"/>
      <c r="H828" s="8"/>
      <c r="J828"/>
      <c r="K828"/>
      <c r="L828"/>
      <c r="Q828" s="1"/>
      <c r="Y828" s="4"/>
      <c r="AJ828"/>
      <c r="AK828" s="14"/>
    </row>
    <row r="829" spans="4:37" ht="14.25" customHeight="1" x14ac:dyDescent="0.35">
      <c r="D829"/>
      <c r="H829" s="8"/>
      <c r="J829"/>
      <c r="K829"/>
      <c r="L829"/>
      <c r="Q829" s="1"/>
      <c r="Y829" s="4"/>
      <c r="AJ829"/>
      <c r="AK829" s="14"/>
    </row>
    <row r="830" spans="4:37" ht="14.25" customHeight="1" x14ac:dyDescent="0.35">
      <c r="D830"/>
      <c r="H830" s="8"/>
      <c r="J830"/>
      <c r="K830"/>
      <c r="L830"/>
      <c r="Q830" s="1"/>
      <c r="Y830" s="4"/>
      <c r="AJ830"/>
      <c r="AK830" s="14"/>
    </row>
    <row r="831" spans="4:37" ht="14.25" customHeight="1" x14ac:dyDescent="0.35">
      <c r="D831"/>
      <c r="H831" s="8"/>
      <c r="J831"/>
      <c r="K831"/>
      <c r="L831"/>
      <c r="Q831" s="1"/>
      <c r="Y831" s="4"/>
      <c r="AJ831"/>
      <c r="AK831" s="14"/>
    </row>
    <row r="832" spans="4:37" ht="14.25" customHeight="1" x14ac:dyDescent="0.35">
      <c r="D832"/>
      <c r="H832" s="8"/>
      <c r="J832"/>
      <c r="K832"/>
      <c r="L832"/>
      <c r="Q832" s="1"/>
      <c r="Y832" s="4"/>
      <c r="AJ832"/>
      <c r="AK832" s="14"/>
    </row>
    <row r="833" spans="4:37" ht="14.25" customHeight="1" x14ac:dyDescent="0.35">
      <c r="D833"/>
      <c r="H833" s="8"/>
      <c r="J833"/>
      <c r="K833"/>
      <c r="L833"/>
      <c r="Q833" s="1"/>
      <c r="Y833" s="4"/>
      <c r="AJ833"/>
      <c r="AK833" s="14"/>
    </row>
    <row r="834" spans="4:37" ht="14.25" customHeight="1" x14ac:dyDescent="0.35">
      <c r="D834"/>
      <c r="H834" s="8"/>
      <c r="J834"/>
      <c r="K834"/>
      <c r="L834"/>
      <c r="Q834" s="1"/>
      <c r="Y834" s="4"/>
      <c r="AJ834"/>
      <c r="AK834" s="14"/>
    </row>
    <row r="835" spans="4:37" ht="14.25" customHeight="1" x14ac:dyDescent="0.35">
      <c r="D835"/>
      <c r="H835" s="8"/>
      <c r="J835"/>
      <c r="K835"/>
      <c r="L835"/>
      <c r="Q835" s="1"/>
      <c r="Y835" s="4"/>
      <c r="AJ835"/>
      <c r="AK835" s="14"/>
    </row>
    <row r="836" spans="4:37" ht="14.25" customHeight="1" x14ac:dyDescent="0.35">
      <c r="D836"/>
      <c r="H836" s="8"/>
      <c r="J836"/>
      <c r="K836"/>
      <c r="L836"/>
      <c r="Q836" s="1"/>
      <c r="Y836" s="4"/>
      <c r="AJ836"/>
      <c r="AK836" s="14"/>
    </row>
    <row r="837" spans="4:37" ht="14.25" customHeight="1" x14ac:dyDescent="0.35">
      <c r="D837"/>
      <c r="H837" s="8"/>
      <c r="J837"/>
      <c r="K837"/>
      <c r="L837"/>
      <c r="Q837" s="1"/>
      <c r="Y837" s="4"/>
      <c r="AJ837"/>
      <c r="AK837" s="14"/>
    </row>
    <row r="838" spans="4:37" ht="14.25" customHeight="1" x14ac:dyDescent="0.35">
      <c r="D838"/>
      <c r="H838" s="8"/>
      <c r="J838"/>
      <c r="K838"/>
      <c r="L838"/>
      <c r="Q838" s="1"/>
      <c r="Y838" s="4"/>
      <c r="AJ838"/>
      <c r="AK838" s="14"/>
    </row>
    <row r="839" spans="4:37" ht="14.25" customHeight="1" x14ac:dyDescent="0.35">
      <c r="D839"/>
      <c r="H839" s="8"/>
      <c r="J839"/>
      <c r="K839"/>
      <c r="L839"/>
      <c r="Q839" s="1"/>
      <c r="Y839" s="4"/>
      <c r="AJ839"/>
      <c r="AK839" s="14"/>
    </row>
    <row r="840" spans="4:37" ht="14.25" customHeight="1" x14ac:dyDescent="0.35">
      <c r="D840"/>
      <c r="H840" s="8"/>
      <c r="J840"/>
      <c r="K840"/>
      <c r="L840"/>
      <c r="Q840" s="1"/>
      <c r="Y840" s="4"/>
      <c r="AJ840"/>
      <c r="AK840" s="14"/>
    </row>
    <row r="841" spans="4:37" ht="14.25" customHeight="1" x14ac:dyDescent="0.35">
      <c r="D841"/>
      <c r="H841" s="8"/>
      <c r="J841"/>
      <c r="K841"/>
      <c r="L841"/>
      <c r="Q841" s="1"/>
      <c r="Y841" s="4"/>
      <c r="AJ841"/>
      <c r="AK841" s="14"/>
    </row>
    <row r="842" spans="4:37" ht="14.25" customHeight="1" x14ac:dyDescent="0.35">
      <c r="D842"/>
      <c r="H842" s="8"/>
      <c r="J842"/>
      <c r="K842"/>
      <c r="L842"/>
      <c r="Q842" s="1"/>
      <c r="Y842" s="4"/>
      <c r="AJ842"/>
      <c r="AK842" s="14"/>
    </row>
    <row r="843" spans="4:37" ht="14.25" customHeight="1" x14ac:dyDescent="0.35">
      <c r="D843"/>
      <c r="H843" s="8"/>
      <c r="J843"/>
      <c r="K843"/>
      <c r="L843"/>
      <c r="Q843" s="1"/>
      <c r="Y843" s="4"/>
      <c r="AJ843"/>
      <c r="AK843" s="14"/>
    </row>
    <row r="844" spans="4:37" ht="14.25" customHeight="1" x14ac:dyDescent="0.35">
      <c r="D844"/>
      <c r="H844" s="8"/>
      <c r="J844"/>
      <c r="K844"/>
      <c r="L844"/>
      <c r="Q844" s="1"/>
      <c r="Y844" s="4"/>
      <c r="AJ844"/>
      <c r="AK844" s="14"/>
    </row>
    <row r="845" spans="4:37" ht="14.25" customHeight="1" x14ac:dyDescent="0.35">
      <c r="D845"/>
      <c r="H845" s="8"/>
      <c r="J845"/>
      <c r="K845"/>
      <c r="L845"/>
      <c r="Q845" s="1"/>
      <c r="Y845" s="4"/>
      <c r="AJ845"/>
      <c r="AK845" s="14"/>
    </row>
    <row r="846" spans="4:37" ht="14.25" customHeight="1" x14ac:dyDescent="0.35">
      <c r="D846"/>
      <c r="H846" s="8"/>
      <c r="J846"/>
      <c r="K846"/>
      <c r="L846"/>
      <c r="Q846" s="1"/>
      <c r="Y846" s="4"/>
      <c r="AJ846"/>
      <c r="AK846" s="14"/>
    </row>
    <row r="847" spans="4:37" ht="14.25" customHeight="1" x14ac:dyDescent="0.35">
      <c r="D847"/>
      <c r="H847" s="8"/>
      <c r="J847"/>
      <c r="K847"/>
      <c r="L847"/>
      <c r="Q847" s="1"/>
      <c r="Y847" s="4"/>
      <c r="AJ847"/>
      <c r="AK847" s="14"/>
    </row>
    <row r="848" spans="4:37" ht="14.25" customHeight="1" x14ac:dyDescent="0.35">
      <c r="D848"/>
      <c r="H848" s="8"/>
      <c r="J848"/>
      <c r="K848"/>
      <c r="L848"/>
      <c r="Q848" s="1"/>
      <c r="Y848" s="4"/>
      <c r="AJ848"/>
      <c r="AK848" s="14"/>
    </row>
    <row r="849" spans="4:37" ht="14.25" customHeight="1" x14ac:dyDescent="0.35">
      <c r="D849"/>
      <c r="H849" s="8"/>
      <c r="J849"/>
      <c r="K849"/>
      <c r="L849"/>
      <c r="Q849" s="1"/>
      <c r="Y849" s="4"/>
      <c r="AJ849"/>
      <c r="AK849" s="14"/>
    </row>
    <row r="850" spans="4:37" ht="14.25" customHeight="1" x14ac:dyDescent="0.35">
      <c r="D850"/>
      <c r="H850" s="8"/>
      <c r="J850"/>
      <c r="K850"/>
      <c r="L850"/>
      <c r="Q850" s="1"/>
      <c r="Y850" s="4"/>
      <c r="AJ850"/>
      <c r="AK850" s="14"/>
    </row>
    <row r="851" spans="4:37" ht="14.25" customHeight="1" x14ac:dyDescent="0.35">
      <c r="D851"/>
      <c r="H851" s="8"/>
      <c r="J851"/>
      <c r="K851"/>
      <c r="L851"/>
      <c r="Q851" s="1"/>
      <c r="Y851" s="4"/>
      <c r="AJ851"/>
      <c r="AK851" s="14"/>
    </row>
    <row r="852" spans="4:37" ht="14.25" customHeight="1" x14ac:dyDescent="0.35">
      <c r="D852"/>
      <c r="H852" s="8"/>
      <c r="J852"/>
      <c r="K852"/>
      <c r="L852"/>
      <c r="Q852" s="1"/>
      <c r="Y852" s="4"/>
      <c r="AJ852"/>
      <c r="AK852" s="14"/>
    </row>
    <row r="853" spans="4:37" ht="14.25" customHeight="1" x14ac:dyDescent="0.35">
      <c r="D853"/>
      <c r="H853" s="8"/>
      <c r="J853"/>
      <c r="K853"/>
      <c r="L853"/>
      <c r="Q853" s="1"/>
      <c r="Y853" s="4"/>
      <c r="AJ853"/>
      <c r="AK853" s="14"/>
    </row>
    <row r="854" spans="4:37" ht="14.25" customHeight="1" x14ac:dyDescent="0.35">
      <c r="D854"/>
      <c r="H854" s="8"/>
      <c r="J854"/>
      <c r="K854"/>
      <c r="L854"/>
      <c r="Q854" s="1"/>
      <c r="Y854" s="4"/>
      <c r="AJ854"/>
      <c r="AK854" s="14"/>
    </row>
    <row r="855" spans="4:37" ht="14.25" customHeight="1" x14ac:dyDescent="0.35">
      <c r="D855"/>
      <c r="H855" s="8"/>
      <c r="J855"/>
      <c r="K855"/>
      <c r="L855"/>
      <c r="Q855" s="1"/>
      <c r="Y855" s="4"/>
      <c r="AJ855"/>
      <c r="AK855" s="14"/>
    </row>
    <row r="856" spans="4:37" ht="14.25" customHeight="1" x14ac:dyDescent="0.35">
      <c r="D856"/>
      <c r="H856" s="8"/>
      <c r="J856"/>
      <c r="K856"/>
      <c r="L856"/>
      <c r="Q856" s="1"/>
      <c r="Y856" s="4"/>
      <c r="AJ856"/>
      <c r="AK856" s="14"/>
    </row>
    <row r="857" spans="4:37" ht="14.25" customHeight="1" x14ac:dyDescent="0.35">
      <c r="D857"/>
      <c r="H857" s="8"/>
      <c r="J857"/>
      <c r="K857"/>
      <c r="L857"/>
      <c r="Q857" s="1"/>
      <c r="Y857" s="4"/>
      <c r="AJ857"/>
      <c r="AK857" s="14"/>
    </row>
    <row r="858" spans="4:37" ht="14.25" customHeight="1" x14ac:dyDescent="0.35">
      <c r="D858"/>
      <c r="H858" s="8"/>
      <c r="J858"/>
      <c r="K858"/>
      <c r="L858"/>
      <c r="Q858" s="1"/>
      <c r="Y858" s="4"/>
      <c r="AJ858"/>
      <c r="AK858" s="14"/>
    </row>
    <row r="859" spans="4:37" ht="14.25" customHeight="1" x14ac:dyDescent="0.35">
      <c r="D859"/>
      <c r="H859" s="8"/>
      <c r="J859"/>
      <c r="K859"/>
      <c r="L859"/>
      <c r="Q859" s="1"/>
      <c r="Y859" s="4"/>
      <c r="AJ859"/>
      <c r="AK859" s="14"/>
    </row>
    <row r="860" spans="4:37" ht="14.25" customHeight="1" x14ac:dyDescent="0.35">
      <c r="D860"/>
      <c r="H860" s="8"/>
      <c r="J860"/>
      <c r="K860"/>
      <c r="L860"/>
      <c r="Q860" s="1"/>
      <c r="Y860" s="4"/>
      <c r="AJ860"/>
      <c r="AK860" s="14"/>
    </row>
    <row r="861" spans="4:37" ht="14.25" customHeight="1" x14ac:dyDescent="0.35">
      <c r="D861"/>
      <c r="H861" s="8"/>
      <c r="J861"/>
      <c r="K861"/>
      <c r="L861"/>
      <c r="Q861" s="1"/>
      <c r="Y861" s="4"/>
      <c r="AJ861"/>
      <c r="AK861" s="14"/>
    </row>
    <row r="862" spans="4:37" ht="14.25" customHeight="1" x14ac:dyDescent="0.35">
      <c r="D862"/>
      <c r="H862" s="8"/>
      <c r="J862"/>
      <c r="K862"/>
      <c r="L862"/>
      <c r="Q862" s="1"/>
      <c r="Y862" s="4"/>
      <c r="AJ862"/>
      <c r="AK862" s="14"/>
    </row>
    <row r="863" spans="4:37" ht="14.25" customHeight="1" x14ac:dyDescent="0.35">
      <c r="D863"/>
      <c r="H863" s="8"/>
      <c r="J863"/>
      <c r="K863"/>
      <c r="L863"/>
      <c r="Q863" s="1"/>
      <c r="Y863" s="4"/>
      <c r="AJ863"/>
      <c r="AK863" s="14"/>
    </row>
    <row r="864" spans="4:37" ht="14.25" customHeight="1" x14ac:dyDescent="0.35">
      <c r="D864"/>
      <c r="H864" s="8"/>
      <c r="J864"/>
      <c r="K864"/>
      <c r="L864"/>
      <c r="Q864" s="1"/>
      <c r="Y864" s="4"/>
      <c r="AJ864"/>
      <c r="AK864" s="14"/>
    </row>
    <row r="865" spans="4:37" ht="14.25" customHeight="1" x14ac:dyDescent="0.35">
      <c r="D865"/>
      <c r="H865" s="8"/>
      <c r="J865"/>
      <c r="K865"/>
      <c r="L865"/>
      <c r="Q865" s="1"/>
      <c r="Y865" s="4"/>
      <c r="AJ865"/>
      <c r="AK865" s="14"/>
    </row>
    <row r="866" spans="4:37" ht="14.25" customHeight="1" x14ac:dyDescent="0.35">
      <c r="D866"/>
      <c r="H866" s="8"/>
      <c r="J866"/>
      <c r="K866"/>
      <c r="L866"/>
      <c r="Q866" s="1"/>
      <c r="Y866" s="4"/>
      <c r="AJ866"/>
      <c r="AK866" s="14"/>
    </row>
    <row r="867" spans="4:37" ht="14.25" customHeight="1" x14ac:dyDescent="0.35">
      <c r="D867"/>
      <c r="H867" s="8"/>
      <c r="J867"/>
      <c r="K867"/>
      <c r="L867"/>
      <c r="Q867" s="1"/>
      <c r="Y867" s="4"/>
      <c r="AJ867"/>
      <c r="AK867" s="14"/>
    </row>
    <row r="868" spans="4:37" ht="14.25" customHeight="1" x14ac:dyDescent="0.35">
      <c r="D868"/>
      <c r="H868" s="8"/>
      <c r="J868"/>
      <c r="K868"/>
      <c r="L868"/>
      <c r="Q868" s="1"/>
      <c r="Y868" s="4"/>
      <c r="AJ868"/>
      <c r="AK868" s="14"/>
    </row>
    <row r="869" spans="4:37" ht="14.25" customHeight="1" x14ac:dyDescent="0.35">
      <c r="D869"/>
      <c r="H869" s="8"/>
      <c r="J869"/>
      <c r="K869"/>
      <c r="L869"/>
      <c r="Q869" s="1"/>
      <c r="Y869" s="4"/>
      <c r="AJ869"/>
      <c r="AK869" s="14"/>
    </row>
    <row r="870" spans="4:37" ht="14.25" customHeight="1" x14ac:dyDescent="0.35">
      <c r="D870"/>
      <c r="H870" s="8"/>
      <c r="J870"/>
      <c r="K870"/>
      <c r="L870"/>
      <c r="Q870" s="1"/>
      <c r="Y870" s="4"/>
      <c r="AJ870"/>
      <c r="AK870" s="14"/>
    </row>
    <row r="871" spans="4:37" ht="14.25" customHeight="1" x14ac:dyDescent="0.35">
      <c r="D871"/>
      <c r="H871" s="8"/>
      <c r="J871"/>
      <c r="K871"/>
      <c r="L871"/>
      <c r="Q871" s="1"/>
      <c r="Y871" s="4"/>
      <c r="AJ871"/>
      <c r="AK871" s="14"/>
    </row>
    <row r="872" spans="4:37" ht="14.25" customHeight="1" x14ac:dyDescent="0.35">
      <c r="D872"/>
      <c r="H872" s="8"/>
      <c r="J872"/>
      <c r="K872"/>
      <c r="L872"/>
      <c r="Q872" s="1"/>
      <c r="Y872" s="4"/>
      <c r="AJ872"/>
      <c r="AK872" s="14"/>
    </row>
    <row r="873" spans="4:37" ht="14.25" customHeight="1" x14ac:dyDescent="0.35">
      <c r="D873"/>
      <c r="H873" s="8"/>
      <c r="J873"/>
      <c r="K873"/>
      <c r="L873"/>
      <c r="Q873" s="1"/>
      <c r="Y873" s="4"/>
      <c r="AJ873"/>
      <c r="AK873" s="14"/>
    </row>
    <row r="874" spans="4:37" ht="14.25" customHeight="1" x14ac:dyDescent="0.35">
      <c r="D874"/>
      <c r="H874" s="8"/>
      <c r="J874"/>
      <c r="K874"/>
      <c r="L874"/>
      <c r="Q874" s="1"/>
      <c r="Y874" s="4"/>
      <c r="AJ874"/>
      <c r="AK874" s="14"/>
    </row>
    <row r="875" spans="4:37" ht="14.25" customHeight="1" x14ac:dyDescent="0.35">
      <c r="D875"/>
      <c r="H875" s="8"/>
      <c r="J875"/>
      <c r="K875"/>
      <c r="L875"/>
      <c r="Q875" s="1"/>
      <c r="Y875" s="4"/>
      <c r="AJ875"/>
      <c r="AK875" s="14"/>
    </row>
    <row r="876" spans="4:37" ht="14.25" customHeight="1" x14ac:dyDescent="0.35">
      <c r="D876"/>
      <c r="H876" s="8"/>
      <c r="J876"/>
      <c r="K876"/>
      <c r="L876"/>
      <c r="Q876" s="1"/>
      <c r="Y876" s="4"/>
      <c r="AJ876"/>
      <c r="AK876" s="14"/>
    </row>
    <row r="877" spans="4:37" ht="14.25" customHeight="1" x14ac:dyDescent="0.35">
      <c r="D877"/>
      <c r="H877" s="8"/>
      <c r="J877"/>
      <c r="K877"/>
      <c r="L877"/>
      <c r="Q877" s="1"/>
      <c r="Y877" s="4"/>
      <c r="AJ877"/>
      <c r="AK877" s="14"/>
    </row>
    <row r="878" spans="4:37" ht="14.25" customHeight="1" x14ac:dyDescent="0.35">
      <c r="D878"/>
      <c r="H878" s="8"/>
      <c r="J878"/>
      <c r="K878"/>
      <c r="L878"/>
      <c r="Q878" s="1"/>
      <c r="Y878" s="4"/>
      <c r="AJ878"/>
      <c r="AK878" s="14"/>
    </row>
    <row r="879" spans="4:37" ht="14.25" customHeight="1" x14ac:dyDescent="0.35">
      <c r="D879"/>
      <c r="H879" s="8"/>
      <c r="J879"/>
      <c r="K879"/>
      <c r="L879"/>
      <c r="Q879" s="1"/>
      <c r="Y879" s="4"/>
      <c r="AJ879"/>
      <c r="AK879" s="14"/>
    </row>
    <row r="880" spans="4:37" ht="14.25" customHeight="1" x14ac:dyDescent="0.35">
      <c r="D880"/>
      <c r="H880" s="8"/>
      <c r="J880"/>
      <c r="K880"/>
      <c r="L880"/>
      <c r="Q880" s="1"/>
      <c r="Y880" s="4"/>
      <c r="AJ880"/>
      <c r="AK880" s="14"/>
    </row>
    <row r="881" spans="4:37" ht="14.25" customHeight="1" x14ac:dyDescent="0.35">
      <c r="D881"/>
      <c r="H881" s="8"/>
      <c r="J881"/>
      <c r="K881"/>
      <c r="L881"/>
      <c r="Q881" s="1"/>
      <c r="Y881" s="4"/>
      <c r="AJ881"/>
      <c r="AK881" s="14"/>
    </row>
    <row r="882" spans="4:37" ht="14.25" customHeight="1" x14ac:dyDescent="0.35">
      <c r="D882"/>
      <c r="H882" s="8"/>
      <c r="J882"/>
      <c r="K882"/>
      <c r="L882"/>
      <c r="Q882" s="1"/>
      <c r="Y882" s="4"/>
      <c r="AJ882"/>
      <c r="AK882" s="14"/>
    </row>
    <row r="883" spans="4:37" ht="14.25" customHeight="1" x14ac:dyDescent="0.35">
      <c r="D883"/>
      <c r="H883" s="8"/>
      <c r="J883"/>
      <c r="K883"/>
      <c r="L883"/>
      <c r="Q883" s="1"/>
      <c r="Y883" s="4"/>
      <c r="AJ883"/>
      <c r="AK883" s="14"/>
    </row>
    <row r="884" spans="4:37" ht="14.25" customHeight="1" x14ac:dyDescent="0.35">
      <c r="D884"/>
      <c r="H884" s="8"/>
      <c r="J884"/>
      <c r="K884"/>
      <c r="L884"/>
      <c r="Q884" s="1"/>
      <c r="Y884" s="4"/>
      <c r="AJ884"/>
      <c r="AK884" s="14"/>
    </row>
    <row r="885" spans="4:37" ht="14.25" customHeight="1" x14ac:dyDescent="0.35">
      <c r="D885"/>
      <c r="H885" s="8"/>
      <c r="J885"/>
      <c r="K885"/>
      <c r="L885"/>
      <c r="Q885" s="1"/>
      <c r="Y885" s="4"/>
      <c r="AJ885"/>
      <c r="AK885" s="14"/>
    </row>
    <row r="886" spans="4:37" ht="14.25" customHeight="1" x14ac:dyDescent="0.35">
      <c r="D886"/>
      <c r="H886" s="8"/>
      <c r="J886"/>
      <c r="K886"/>
      <c r="L886"/>
      <c r="Q886" s="1"/>
      <c r="Y886" s="4"/>
      <c r="AJ886"/>
      <c r="AK886" s="14"/>
    </row>
    <row r="887" spans="4:37" ht="14.25" customHeight="1" x14ac:dyDescent="0.35">
      <c r="D887"/>
      <c r="H887" s="8"/>
      <c r="J887"/>
      <c r="K887"/>
      <c r="L887"/>
      <c r="Q887" s="1"/>
      <c r="Y887" s="4"/>
      <c r="AJ887"/>
      <c r="AK887" s="14"/>
    </row>
    <row r="888" spans="4:37" ht="14.25" customHeight="1" x14ac:dyDescent="0.35">
      <c r="D888"/>
      <c r="H888" s="8"/>
      <c r="J888"/>
      <c r="K888"/>
      <c r="L888"/>
      <c r="Q888" s="1"/>
      <c r="Y888" s="4"/>
      <c r="AJ888"/>
      <c r="AK888" s="14"/>
    </row>
    <row r="889" spans="4:37" ht="14.25" customHeight="1" x14ac:dyDescent="0.35">
      <c r="D889"/>
      <c r="H889" s="8"/>
      <c r="J889"/>
      <c r="K889"/>
      <c r="L889"/>
      <c r="Q889" s="1"/>
      <c r="Y889" s="4"/>
      <c r="AJ889"/>
      <c r="AK889" s="14"/>
    </row>
    <row r="890" spans="4:37" ht="14.25" customHeight="1" x14ac:dyDescent="0.35">
      <c r="D890"/>
      <c r="H890" s="8"/>
      <c r="J890"/>
      <c r="K890"/>
      <c r="L890"/>
      <c r="Q890" s="1"/>
      <c r="Y890" s="4"/>
      <c r="AJ890"/>
      <c r="AK890" s="14"/>
    </row>
    <row r="891" spans="4:37" ht="14.25" customHeight="1" x14ac:dyDescent="0.35">
      <c r="D891"/>
      <c r="H891" s="8"/>
      <c r="J891"/>
      <c r="K891"/>
      <c r="L891"/>
      <c r="Q891" s="1"/>
      <c r="Y891" s="4"/>
      <c r="AJ891"/>
      <c r="AK891" s="14"/>
    </row>
    <row r="892" spans="4:37" ht="14.25" customHeight="1" x14ac:dyDescent="0.35">
      <c r="D892"/>
      <c r="H892" s="8"/>
      <c r="J892"/>
      <c r="K892"/>
      <c r="L892"/>
      <c r="Q892" s="1"/>
      <c r="Y892" s="4"/>
      <c r="AJ892"/>
      <c r="AK892" s="14"/>
    </row>
    <row r="893" spans="4:37" ht="14.25" customHeight="1" x14ac:dyDescent="0.35">
      <c r="D893"/>
      <c r="H893" s="8"/>
      <c r="J893"/>
      <c r="K893"/>
      <c r="L893"/>
      <c r="Q893" s="1"/>
      <c r="Y893" s="4"/>
      <c r="AJ893"/>
      <c r="AK893" s="14"/>
    </row>
    <row r="894" spans="4:37" ht="14.25" customHeight="1" x14ac:dyDescent="0.35">
      <c r="D894"/>
      <c r="H894" s="8"/>
      <c r="J894"/>
      <c r="K894"/>
      <c r="L894"/>
      <c r="Q894" s="1"/>
      <c r="Y894" s="4"/>
      <c r="AJ894"/>
      <c r="AK894" s="14"/>
    </row>
    <row r="895" spans="4:37" ht="14.25" customHeight="1" x14ac:dyDescent="0.35">
      <c r="D895"/>
      <c r="H895" s="8"/>
      <c r="J895"/>
      <c r="K895"/>
      <c r="L895"/>
      <c r="Q895" s="1"/>
      <c r="Y895" s="4"/>
      <c r="AJ895"/>
      <c r="AK895" s="14"/>
    </row>
    <row r="896" spans="4:37" ht="14.25" customHeight="1" x14ac:dyDescent="0.35">
      <c r="D896"/>
      <c r="H896" s="8"/>
      <c r="J896"/>
      <c r="K896"/>
      <c r="L896"/>
      <c r="Q896" s="1"/>
      <c r="Y896" s="4"/>
      <c r="AJ896"/>
      <c r="AK896" s="14"/>
    </row>
    <row r="897" spans="4:37" ht="14.25" customHeight="1" x14ac:dyDescent="0.35">
      <c r="D897"/>
      <c r="H897" s="8"/>
      <c r="J897"/>
      <c r="K897"/>
      <c r="L897"/>
      <c r="Q897" s="1"/>
      <c r="Y897" s="4"/>
      <c r="AJ897"/>
      <c r="AK897" s="14"/>
    </row>
    <row r="898" spans="4:37" ht="14.25" customHeight="1" x14ac:dyDescent="0.35">
      <c r="D898"/>
      <c r="H898" s="8"/>
      <c r="J898"/>
      <c r="K898"/>
      <c r="L898"/>
      <c r="Q898" s="1"/>
      <c r="Y898" s="4"/>
      <c r="AJ898"/>
      <c r="AK898" s="14"/>
    </row>
    <row r="899" spans="4:37" ht="14.25" customHeight="1" x14ac:dyDescent="0.35">
      <c r="D899"/>
      <c r="H899" s="8"/>
      <c r="J899"/>
      <c r="K899"/>
      <c r="L899"/>
      <c r="Q899" s="1"/>
      <c r="Y899" s="4"/>
      <c r="AJ899"/>
      <c r="AK899" s="14"/>
    </row>
    <row r="900" spans="4:37" ht="14.25" customHeight="1" x14ac:dyDescent="0.35">
      <c r="D900"/>
      <c r="H900" s="8"/>
      <c r="J900"/>
      <c r="K900"/>
      <c r="L900"/>
      <c r="Q900" s="1"/>
      <c r="Y900" s="4"/>
      <c r="AJ900"/>
      <c r="AK900" s="14"/>
    </row>
    <row r="901" spans="4:37" ht="14.25" customHeight="1" x14ac:dyDescent="0.35">
      <c r="D901"/>
      <c r="H901" s="8"/>
      <c r="J901"/>
      <c r="K901"/>
      <c r="L901"/>
      <c r="Q901" s="1"/>
      <c r="Y901" s="4"/>
      <c r="AJ901"/>
      <c r="AK901" s="14"/>
    </row>
    <row r="902" spans="4:37" ht="14.25" customHeight="1" x14ac:dyDescent="0.35">
      <c r="D902"/>
      <c r="H902" s="8"/>
      <c r="J902"/>
      <c r="K902"/>
      <c r="L902"/>
      <c r="Q902" s="1"/>
      <c r="Y902" s="4"/>
      <c r="AJ902"/>
      <c r="AK902" s="14"/>
    </row>
    <row r="903" spans="4:37" ht="14.25" customHeight="1" x14ac:dyDescent="0.35">
      <c r="D903"/>
      <c r="H903" s="8"/>
      <c r="J903"/>
      <c r="K903"/>
      <c r="L903"/>
      <c r="Q903" s="1"/>
      <c r="Y903" s="4"/>
      <c r="AJ903"/>
      <c r="AK903" s="14"/>
    </row>
    <row r="904" spans="4:37" ht="14.25" customHeight="1" x14ac:dyDescent="0.35">
      <c r="D904"/>
      <c r="H904" s="8"/>
      <c r="J904"/>
      <c r="K904"/>
      <c r="L904"/>
      <c r="Q904" s="1"/>
      <c r="Y904" s="4"/>
      <c r="AJ904"/>
      <c r="AK904" s="14"/>
    </row>
    <row r="905" spans="4:37" ht="14.25" customHeight="1" x14ac:dyDescent="0.35">
      <c r="D905"/>
      <c r="H905" s="8"/>
      <c r="J905"/>
      <c r="K905"/>
      <c r="L905"/>
      <c r="Q905" s="1"/>
      <c r="Y905" s="4"/>
      <c r="AJ905"/>
      <c r="AK905" s="14"/>
    </row>
    <row r="906" spans="4:37" ht="14.25" customHeight="1" x14ac:dyDescent="0.35">
      <c r="D906"/>
      <c r="H906" s="8"/>
      <c r="J906"/>
      <c r="K906"/>
      <c r="L906"/>
      <c r="Q906" s="1"/>
      <c r="Y906" s="4"/>
      <c r="AJ906"/>
      <c r="AK906" s="14"/>
    </row>
    <row r="907" spans="4:37" ht="14.25" customHeight="1" x14ac:dyDescent="0.35">
      <c r="D907"/>
      <c r="H907" s="8"/>
      <c r="J907"/>
      <c r="K907"/>
      <c r="L907"/>
      <c r="Q907" s="1"/>
      <c r="Y907" s="4"/>
      <c r="AJ907"/>
      <c r="AK907" s="14"/>
    </row>
    <row r="908" spans="4:37" ht="14.25" customHeight="1" x14ac:dyDescent="0.35">
      <c r="D908"/>
      <c r="H908" s="8"/>
      <c r="J908"/>
      <c r="K908"/>
      <c r="L908"/>
      <c r="Q908" s="1"/>
      <c r="Y908" s="4"/>
      <c r="AJ908"/>
      <c r="AK908" s="14"/>
    </row>
    <row r="909" spans="4:37" ht="14.25" customHeight="1" x14ac:dyDescent="0.35">
      <c r="D909"/>
      <c r="H909" s="8"/>
      <c r="J909"/>
      <c r="K909"/>
      <c r="L909"/>
      <c r="Q909" s="1"/>
      <c r="Y909" s="4"/>
      <c r="AJ909"/>
      <c r="AK909" s="14"/>
    </row>
    <row r="910" spans="4:37" ht="14.25" customHeight="1" x14ac:dyDescent="0.35">
      <c r="D910"/>
      <c r="H910" s="8"/>
      <c r="J910"/>
      <c r="K910"/>
      <c r="L910"/>
      <c r="Q910" s="1"/>
      <c r="Y910" s="4"/>
      <c r="AJ910"/>
      <c r="AK910" s="14"/>
    </row>
    <row r="911" spans="4:37" ht="14.25" customHeight="1" x14ac:dyDescent="0.35">
      <c r="D911"/>
      <c r="H911" s="8"/>
      <c r="J911"/>
      <c r="K911"/>
      <c r="L911"/>
      <c r="Q911" s="1"/>
      <c r="Y911" s="4"/>
      <c r="AJ911"/>
      <c r="AK911" s="14"/>
    </row>
    <row r="912" spans="4:37" ht="14.25" customHeight="1" x14ac:dyDescent="0.35">
      <c r="D912"/>
      <c r="H912" s="8"/>
      <c r="J912"/>
      <c r="K912"/>
      <c r="L912"/>
      <c r="Q912" s="1"/>
      <c r="Y912" s="4"/>
      <c r="AJ912"/>
      <c r="AK912" s="14"/>
    </row>
    <row r="913" spans="4:37" ht="14.25" customHeight="1" x14ac:dyDescent="0.35">
      <c r="D913"/>
      <c r="H913" s="8"/>
      <c r="J913"/>
      <c r="K913"/>
      <c r="L913"/>
      <c r="Q913" s="1"/>
      <c r="Y913" s="4"/>
      <c r="AJ913"/>
      <c r="AK913" s="14"/>
    </row>
    <row r="914" spans="4:37" ht="14.25" customHeight="1" x14ac:dyDescent="0.35">
      <c r="D914"/>
      <c r="H914" s="8"/>
      <c r="J914"/>
      <c r="K914"/>
      <c r="L914"/>
      <c r="Q914" s="1"/>
      <c r="Y914" s="4"/>
      <c r="AJ914"/>
      <c r="AK914" s="14"/>
    </row>
    <row r="915" spans="4:37" ht="14.25" customHeight="1" x14ac:dyDescent="0.35">
      <c r="D915"/>
      <c r="H915" s="8"/>
      <c r="J915"/>
      <c r="K915"/>
      <c r="L915"/>
      <c r="Q915" s="1"/>
      <c r="Y915" s="4"/>
      <c r="AJ915"/>
      <c r="AK915" s="14"/>
    </row>
    <row r="916" spans="4:37" ht="14.25" customHeight="1" x14ac:dyDescent="0.35">
      <c r="D916"/>
      <c r="H916" s="8"/>
      <c r="J916"/>
      <c r="K916"/>
      <c r="L916"/>
      <c r="Q916" s="1"/>
      <c r="Y916" s="4"/>
      <c r="AJ916"/>
      <c r="AK916" s="14"/>
    </row>
    <row r="917" spans="4:37" ht="14.25" customHeight="1" x14ac:dyDescent="0.35">
      <c r="D917"/>
      <c r="H917" s="8"/>
      <c r="J917"/>
      <c r="K917"/>
      <c r="L917"/>
      <c r="Q917" s="1"/>
      <c r="Y917" s="4"/>
      <c r="AJ917"/>
      <c r="AK917" s="14"/>
    </row>
    <row r="918" spans="4:37" ht="14.25" customHeight="1" x14ac:dyDescent="0.35">
      <c r="D918"/>
      <c r="H918" s="8"/>
      <c r="J918"/>
      <c r="K918"/>
      <c r="L918"/>
      <c r="Q918" s="1"/>
      <c r="Y918" s="4"/>
      <c r="AJ918"/>
      <c r="AK918" s="14"/>
    </row>
    <row r="919" spans="4:37" ht="14.25" customHeight="1" x14ac:dyDescent="0.35">
      <c r="D919"/>
      <c r="H919" s="8"/>
      <c r="J919"/>
      <c r="K919"/>
      <c r="L919"/>
      <c r="Q919" s="1"/>
      <c r="Y919" s="4"/>
      <c r="AJ919"/>
      <c r="AK919" s="14"/>
    </row>
    <row r="920" spans="4:37" ht="14.25" customHeight="1" x14ac:dyDescent="0.35">
      <c r="D920"/>
      <c r="H920" s="8"/>
      <c r="J920"/>
      <c r="K920"/>
      <c r="L920"/>
      <c r="Q920" s="1"/>
      <c r="Y920" s="4"/>
      <c r="AJ920"/>
      <c r="AK920" s="14"/>
    </row>
    <row r="921" spans="4:37" ht="14.25" customHeight="1" x14ac:dyDescent="0.35">
      <c r="D921"/>
      <c r="H921" s="8"/>
      <c r="J921"/>
      <c r="K921"/>
      <c r="L921"/>
      <c r="Q921" s="1"/>
      <c r="Y921" s="4"/>
      <c r="AJ921"/>
      <c r="AK921" s="14"/>
    </row>
    <row r="922" spans="4:37" ht="14.25" customHeight="1" x14ac:dyDescent="0.35">
      <c r="D922"/>
      <c r="H922" s="8"/>
      <c r="J922"/>
      <c r="K922"/>
      <c r="L922"/>
      <c r="Q922" s="1"/>
      <c r="Y922" s="4"/>
      <c r="AJ922"/>
      <c r="AK922" s="14"/>
    </row>
    <row r="923" spans="4:37" ht="14.25" customHeight="1" x14ac:dyDescent="0.35">
      <c r="D923"/>
      <c r="H923" s="8"/>
      <c r="J923"/>
      <c r="K923"/>
      <c r="L923"/>
      <c r="Q923" s="1"/>
      <c r="Y923" s="4"/>
      <c r="AJ923"/>
      <c r="AK923" s="14"/>
    </row>
    <row r="924" spans="4:37" ht="14.25" customHeight="1" x14ac:dyDescent="0.35">
      <c r="D924"/>
      <c r="H924" s="8"/>
      <c r="J924"/>
      <c r="K924"/>
      <c r="L924"/>
      <c r="Q924" s="1"/>
      <c r="Y924" s="4"/>
      <c r="AJ924"/>
      <c r="AK924" s="14"/>
    </row>
    <row r="925" spans="4:37" ht="14.25" customHeight="1" x14ac:dyDescent="0.35">
      <c r="D925"/>
      <c r="H925" s="8"/>
      <c r="J925"/>
      <c r="K925"/>
      <c r="L925"/>
      <c r="Q925" s="1"/>
      <c r="Y925" s="4"/>
      <c r="AJ925"/>
      <c r="AK925" s="14"/>
    </row>
    <row r="926" spans="4:37" ht="14.25" customHeight="1" x14ac:dyDescent="0.35">
      <c r="D926"/>
      <c r="H926" s="8"/>
      <c r="J926"/>
      <c r="K926"/>
      <c r="L926"/>
      <c r="Q926" s="1"/>
      <c r="Y926" s="4"/>
      <c r="AJ926"/>
      <c r="AK926" s="14"/>
    </row>
    <row r="927" spans="4:37" ht="14.25" customHeight="1" x14ac:dyDescent="0.35">
      <c r="D927"/>
      <c r="H927" s="8"/>
      <c r="J927"/>
      <c r="K927"/>
      <c r="L927"/>
      <c r="Q927" s="1"/>
      <c r="Y927" s="4"/>
      <c r="AJ927"/>
      <c r="AK927" s="14"/>
    </row>
    <row r="928" spans="4:37" ht="14.25" customHeight="1" x14ac:dyDescent="0.35">
      <c r="D928"/>
      <c r="H928" s="8"/>
      <c r="J928"/>
      <c r="K928"/>
      <c r="L928"/>
      <c r="Q928" s="1"/>
      <c r="Y928" s="4"/>
      <c r="AJ928"/>
      <c r="AK928" s="14"/>
    </row>
    <row r="929" spans="4:37" ht="14.25" customHeight="1" x14ac:dyDescent="0.35">
      <c r="D929"/>
      <c r="H929" s="8"/>
      <c r="J929"/>
      <c r="K929"/>
      <c r="L929"/>
      <c r="Q929" s="1"/>
      <c r="Y929" s="4"/>
      <c r="AJ929"/>
      <c r="AK929" s="14"/>
    </row>
    <row r="930" spans="4:37" ht="14.25" customHeight="1" x14ac:dyDescent="0.35">
      <c r="D930"/>
      <c r="H930" s="8"/>
      <c r="J930"/>
      <c r="K930"/>
      <c r="L930"/>
      <c r="Q930" s="1"/>
      <c r="Y930" s="4"/>
      <c r="AJ930"/>
      <c r="AK930" s="14"/>
    </row>
    <row r="931" spans="4:37" ht="14.25" customHeight="1" x14ac:dyDescent="0.35">
      <c r="D931"/>
      <c r="H931" s="8"/>
      <c r="J931"/>
      <c r="K931"/>
      <c r="L931"/>
      <c r="Q931" s="1"/>
      <c r="Y931" s="4"/>
      <c r="AJ931"/>
      <c r="AK931" s="14"/>
    </row>
    <row r="932" spans="4:37" ht="14.25" customHeight="1" x14ac:dyDescent="0.35">
      <c r="D932"/>
      <c r="H932" s="8"/>
      <c r="J932"/>
      <c r="K932"/>
      <c r="L932"/>
      <c r="Q932" s="1"/>
      <c r="Y932" s="4"/>
      <c r="AJ932"/>
      <c r="AK932" s="14"/>
    </row>
    <row r="933" spans="4:37" ht="14.25" customHeight="1" x14ac:dyDescent="0.35">
      <c r="D933"/>
      <c r="H933" s="8"/>
      <c r="J933"/>
      <c r="K933"/>
      <c r="L933"/>
      <c r="Q933" s="1"/>
      <c r="Y933" s="4"/>
      <c r="AJ933"/>
      <c r="AK933" s="14"/>
    </row>
    <row r="934" spans="4:37" ht="14.25" customHeight="1" x14ac:dyDescent="0.35">
      <c r="D934"/>
      <c r="H934" s="8"/>
      <c r="J934"/>
      <c r="K934"/>
      <c r="L934"/>
      <c r="Q934" s="1"/>
      <c r="Y934" s="4"/>
      <c r="AJ934"/>
      <c r="AK934" s="14"/>
    </row>
    <row r="935" spans="4:37" ht="14.25" customHeight="1" x14ac:dyDescent="0.35">
      <c r="D935"/>
      <c r="H935" s="8"/>
      <c r="J935"/>
      <c r="K935"/>
      <c r="L935"/>
      <c r="Q935" s="1"/>
      <c r="Y935" s="4"/>
      <c r="AJ935"/>
      <c r="AK935" s="14"/>
    </row>
    <row r="936" spans="4:37" ht="14.25" customHeight="1" x14ac:dyDescent="0.35">
      <c r="D936"/>
      <c r="H936" s="8"/>
      <c r="J936"/>
      <c r="K936"/>
      <c r="L936"/>
      <c r="Q936" s="1"/>
      <c r="Y936" s="4"/>
      <c r="AJ936"/>
      <c r="AK936" s="14"/>
    </row>
    <row r="937" spans="4:37" ht="14.25" customHeight="1" x14ac:dyDescent="0.35">
      <c r="D937"/>
      <c r="H937" s="8"/>
      <c r="J937"/>
      <c r="K937"/>
      <c r="L937"/>
      <c r="Q937" s="1"/>
      <c r="Y937" s="4"/>
      <c r="AJ937"/>
      <c r="AK937" s="14"/>
    </row>
    <row r="938" spans="4:37" ht="14.25" customHeight="1" x14ac:dyDescent="0.35">
      <c r="D938"/>
      <c r="H938" s="8"/>
      <c r="J938"/>
      <c r="K938"/>
      <c r="L938"/>
      <c r="Q938" s="1"/>
      <c r="Y938" s="4"/>
      <c r="AJ938"/>
      <c r="AK938" s="14"/>
    </row>
    <row r="939" spans="4:37" ht="14.25" customHeight="1" x14ac:dyDescent="0.35">
      <c r="D939"/>
      <c r="H939" s="8"/>
      <c r="J939"/>
      <c r="K939"/>
      <c r="L939"/>
      <c r="Q939" s="1"/>
      <c r="Y939" s="4"/>
      <c r="AJ939"/>
      <c r="AK939" s="14"/>
    </row>
    <row r="940" spans="4:37" ht="14.25" customHeight="1" x14ac:dyDescent="0.35">
      <c r="D940"/>
      <c r="H940" s="8"/>
      <c r="J940"/>
      <c r="K940"/>
      <c r="L940"/>
      <c r="Q940" s="1"/>
      <c r="Y940" s="4"/>
      <c r="AJ940"/>
      <c r="AK940" s="14"/>
    </row>
    <row r="941" spans="4:37" ht="14.25" customHeight="1" x14ac:dyDescent="0.35">
      <c r="D941"/>
      <c r="H941" s="8"/>
      <c r="J941"/>
      <c r="K941"/>
      <c r="L941"/>
      <c r="Q941" s="1"/>
      <c r="Y941" s="4"/>
      <c r="AJ941"/>
      <c r="AK941" s="14"/>
    </row>
    <row r="942" spans="4:37" ht="14.25" customHeight="1" x14ac:dyDescent="0.35">
      <c r="D942"/>
      <c r="H942" s="8"/>
      <c r="J942"/>
      <c r="K942"/>
      <c r="L942"/>
      <c r="Q942" s="1"/>
      <c r="Y942" s="4"/>
      <c r="AJ942"/>
      <c r="AK942" s="14"/>
    </row>
    <row r="943" spans="4:37" ht="14.25" customHeight="1" x14ac:dyDescent="0.35">
      <c r="D943"/>
      <c r="H943" s="8"/>
      <c r="J943"/>
      <c r="K943"/>
      <c r="L943"/>
      <c r="Q943" s="1"/>
      <c r="Y943" s="4"/>
      <c r="AJ943"/>
      <c r="AK943" s="14"/>
    </row>
    <row r="944" spans="4:37" ht="14.25" customHeight="1" x14ac:dyDescent="0.35">
      <c r="D944"/>
      <c r="H944" s="8"/>
      <c r="J944"/>
      <c r="K944"/>
      <c r="L944"/>
      <c r="Q944" s="1"/>
      <c r="Y944" s="4"/>
      <c r="AJ944"/>
      <c r="AK944" s="14"/>
    </row>
    <row r="945" spans="4:37" ht="14.25" customHeight="1" x14ac:dyDescent="0.35">
      <c r="D945"/>
      <c r="H945" s="8"/>
      <c r="J945"/>
      <c r="K945"/>
      <c r="L945"/>
      <c r="Q945" s="1"/>
      <c r="Y945" s="4"/>
      <c r="AJ945"/>
      <c r="AK945" s="14"/>
    </row>
    <row r="946" spans="4:37" ht="14.25" customHeight="1" x14ac:dyDescent="0.35">
      <c r="D946"/>
      <c r="H946" s="8"/>
      <c r="J946"/>
      <c r="K946"/>
      <c r="L946"/>
      <c r="Q946" s="1"/>
      <c r="Y946" s="4"/>
      <c r="AJ946"/>
      <c r="AK946" s="14"/>
    </row>
    <row r="947" spans="4:37" ht="14.25" customHeight="1" x14ac:dyDescent="0.35">
      <c r="D947"/>
      <c r="H947" s="8"/>
      <c r="J947"/>
      <c r="K947"/>
      <c r="L947"/>
      <c r="Q947" s="1"/>
      <c r="Y947" s="4"/>
      <c r="AJ947"/>
      <c r="AK947" s="14"/>
    </row>
    <row r="948" spans="4:37" ht="14.25" customHeight="1" x14ac:dyDescent="0.35">
      <c r="D948"/>
      <c r="H948" s="8"/>
      <c r="J948"/>
      <c r="K948"/>
      <c r="L948"/>
      <c r="Q948" s="1"/>
      <c r="Y948" s="4"/>
      <c r="AJ948"/>
      <c r="AK948" s="14"/>
    </row>
    <row r="949" spans="4:37" ht="14.25" customHeight="1" x14ac:dyDescent="0.35">
      <c r="D949"/>
      <c r="H949" s="8"/>
      <c r="J949"/>
      <c r="K949"/>
      <c r="L949"/>
      <c r="Q949" s="1"/>
      <c r="Y949" s="4"/>
      <c r="AJ949"/>
      <c r="AK949" s="14"/>
    </row>
    <row r="950" spans="4:37" ht="14.25" customHeight="1" x14ac:dyDescent="0.35">
      <c r="D950"/>
      <c r="H950" s="8"/>
      <c r="J950"/>
      <c r="K950"/>
      <c r="L950"/>
      <c r="Q950" s="1"/>
      <c r="Y950" s="4"/>
      <c r="AJ950"/>
      <c r="AK950" s="14"/>
    </row>
    <row r="951" spans="4:37" ht="14.25" customHeight="1" x14ac:dyDescent="0.35">
      <c r="D951"/>
      <c r="H951" s="8"/>
      <c r="J951"/>
      <c r="K951"/>
      <c r="L951"/>
      <c r="Q951" s="1"/>
      <c r="Y951" s="4"/>
      <c r="AJ951"/>
      <c r="AK951" s="14"/>
    </row>
    <row r="952" spans="4:37" ht="14.25" customHeight="1" x14ac:dyDescent="0.35">
      <c r="D952"/>
      <c r="H952" s="8"/>
      <c r="J952"/>
      <c r="K952"/>
      <c r="L952"/>
      <c r="Q952" s="1"/>
      <c r="Y952" s="4"/>
      <c r="AJ952"/>
      <c r="AK952" s="14"/>
    </row>
    <row r="953" spans="4:37" ht="14.25" customHeight="1" x14ac:dyDescent="0.35">
      <c r="D953"/>
      <c r="H953" s="8"/>
      <c r="J953"/>
      <c r="K953"/>
      <c r="L953"/>
      <c r="Q953" s="1"/>
      <c r="Y953" s="4"/>
      <c r="AJ953"/>
      <c r="AK953" s="14"/>
    </row>
    <row r="954" spans="4:37" ht="14.25" customHeight="1" x14ac:dyDescent="0.35">
      <c r="D954"/>
      <c r="H954" s="8"/>
      <c r="J954"/>
      <c r="K954"/>
      <c r="L954"/>
      <c r="Q954" s="1"/>
      <c r="Y954" s="4"/>
      <c r="AJ954"/>
      <c r="AK954" s="14"/>
    </row>
    <row r="955" spans="4:37" ht="14.25" customHeight="1" x14ac:dyDescent="0.35">
      <c r="D955"/>
      <c r="H955" s="8"/>
      <c r="J955"/>
      <c r="K955"/>
      <c r="L955"/>
      <c r="Q955" s="1"/>
      <c r="Y955" s="4"/>
      <c r="AJ955"/>
      <c r="AK955" s="14"/>
    </row>
    <row r="956" spans="4:37" ht="14.25" customHeight="1" x14ac:dyDescent="0.35">
      <c r="D956"/>
      <c r="H956" s="8"/>
      <c r="J956"/>
      <c r="K956"/>
      <c r="L956"/>
      <c r="Q956" s="1"/>
      <c r="Y956" s="4"/>
      <c r="AJ956"/>
      <c r="AK956" s="14"/>
    </row>
    <row r="957" spans="4:37" ht="14.25" customHeight="1" x14ac:dyDescent="0.35">
      <c r="D957"/>
      <c r="H957" s="8"/>
      <c r="J957"/>
      <c r="K957"/>
      <c r="L957"/>
      <c r="Q957" s="1"/>
      <c r="Y957" s="4"/>
      <c r="AJ957"/>
      <c r="AK957" s="14"/>
    </row>
    <row r="958" spans="4:37" ht="14.25" customHeight="1" x14ac:dyDescent="0.35">
      <c r="D958"/>
      <c r="H958" s="8"/>
      <c r="J958"/>
      <c r="K958"/>
      <c r="L958"/>
      <c r="Q958" s="1"/>
      <c r="Y958" s="4"/>
      <c r="AJ958"/>
      <c r="AK958" s="14"/>
    </row>
    <row r="959" spans="4:37" ht="14.25" customHeight="1" x14ac:dyDescent="0.35">
      <c r="D959"/>
      <c r="H959" s="8"/>
      <c r="J959"/>
      <c r="K959"/>
      <c r="L959"/>
      <c r="Q959" s="1"/>
      <c r="Y959" s="4"/>
      <c r="AJ959"/>
      <c r="AK959" s="14"/>
    </row>
    <row r="960" spans="4:37" ht="14.25" customHeight="1" x14ac:dyDescent="0.35">
      <c r="D960"/>
      <c r="H960" s="8"/>
      <c r="J960"/>
      <c r="K960"/>
      <c r="L960"/>
      <c r="Q960" s="1"/>
      <c r="Y960" s="4"/>
      <c r="AJ960"/>
      <c r="AK960" s="14"/>
    </row>
    <row r="961" spans="4:37" ht="14.25" customHeight="1" x14ac:dyDescent="0.35">
      <c r="D961"/>
      <c r="H961" s="8"/>
      <c r="J961"/>
      <c r="K961"/>
      <c r="L961"/>
      <c r="Q961" s="1"/>
      <c r="Y961" s="4"/>
      <c r="AJ961"/>
      <c r="AK961" s="14"/>
    </row>
    <row r="962" spans="4:37" ht="14.25" customHeight="1" x14ac:dyDescent="0.35">
      <c r="D962"/>
      <c r="H962" s="8"/>
      <c r="J962"/>
      <c r="K962"/>
      <c r="L962"/>
      <c r="Q962" s="1"/>
      <c r="Y962" s="4"/>
      <c r="AJ962"/>
      <c r="AK962" s="14"/>
    </row>
    <row r="963" spans="4:37" ht="14.25" customHeight="1" x14ac:dyDescent="0.35">
      <c r="D963"/>
      <c r="H963" s="8"/>
      <c r="J963"/>
      <c r="K963"/>
      <c r="L963"/>
      <c r="Q963" s="1"/>
      <c r="Y963" s="4"/>
      <c r="AJ963"/>
      <c r="AK963" s="14"/>
    </row>
    <row r="964" spans="4:37" ht="14.25" customHeight="1" x14ac:dyDescent="0.35">
      <c r="D964"/>
      <c r="H964" s="8"/>
      <c r="J964"/>
      <c r="K964"/>
      <c r="L964"/>
      <c r="Q964" s="1"/>
      <c r="Y964" s="4"/>
      <c r="AJ964"/>
      <c r="AK964" s="14"/>
    </row>
    <row r="965" spans="4:37" ht="14.25" customHeight="1" x14ac:dyDescent="0.35">
      <c r="D965"/>
      <c r="H965" s="8"/>
      <c r="J965"/>
      <c r="K965"/>
      <c r="L965"/>
      <c r="Q965" s="1"/>
      <c r="Y965" s="4"/>
      <c r="AJ965"/>
      <c r="AK965" s="14"/>
    </row>
    <row r="966" spans="4:37" ht="14.25" customHeight="1" x14ac:dyDescent="0.35">
      <c r="D966"/>
      <c r="H966" s="8"/>
      <c r="J966"/>
      <c r="K966"/>
      <c r="L966"/>
      <c r="Q966" s="1"/>
      <c r="Y966" s="4"/>
      <c r="AJ966"/>
      <c r="AK966" s="14"/>
    </row>
    <row r="967" spans="4:37" ht="14.25" customHeight="1" x14ac:dyDescent="0.35">
      <c r="D967"/>
      <c r="H967" s="8"/>
      <c r="J967"/>
      <c r="K967"/>
      <c r="L967"/>
      <c r="Q967" s="1"/>
      <c r="Y967" s="4"/>
      <c r="AJ967"/>
      <c r="AK967" s="14"/>
    </row>
    <row r="968" spans="4:37" ht="14.25" customHeight="1" x14ac:dyDescent="0.35">
      <c r="D968"/>
      <c r="H968" s="8"/>
      <c r="J968"/>
      <c r="K968"/>
      <c r="L968"/>
      <c r="Q968" s="1"/>
      <c r="Y968" s="4"/>
      <c r="AJ968"/>
      <c r="AK968" s="14"/>
    </row>
    <row r="969" spans="4:37" ht="14.25" customHeight="1" x14ac:dyDescent="0.35">
      <c r="D969"/>
      <c r="H969" s="8"/>
      <c r="J969"/>
      <c r="K969"/>
      <c r="L969"/>
      <c r="Q969" s="1"/>
      <c r="Y969" s="4"/>
      <c r="AJ969"/>
      <c r="AK969" s="14"/>
    </row>
    <row r="970" spans="4:37" ht="14.25" customHeight="1" x14ac:dyDescent="0.35">
      <c r="D970"/>
      <c r="H970" s="8"/>
      <c r="J970"/>
      <c r="K970"/>
      <c r="L970"/>
      <c r="Q970" s="1"/>
      <c r="Y970" s="4"/>
      <c r="AJ970"/>
      <c r="AK970" s="14"/>
    </row>
    <row r="971" spans="4:37" ht="14.25" customHeight="1" x14ac:dyDescent="0.35">
      <c r="D971"/>
      <c r="H971" s="8"/>
      <c r="J971"/>
      <c r="K971"/>
      <c r="L971"/>
      <c r="Q971" s="1"/>
      <c r="Y971" s="4"/>
      <c r="AJ971"/>
      <c r="AK971" s="14"/>
    </row>
    <row r="972" spans="4:37" ht="14.25" customHeight="1" x14ac:dyDescent="0.35">
      <c r="D972"/>
      <c r="H972" s="8"/>
      <c r="J972"/>
      <c r="K972"/>
      <c r="L972"/>
      <c r="Q972" s="1"/>
      <c r="Y972" s="4"/>
      <c r="AJ972"/>
      <c r="AK972" s="14"/>
    </row>
    <row r="973" spans="4:37" ht="14.25" customHeight="1" x14ac:dyDescent="0.35">
      <c r="D973"/>
      <c r="H973" s="8"/>
      <c r="J973"/>
      <c r="K973"/>
      <c r="L973"/>
      <c r="Q973" s="1"/>
      <c r="Y973" s="4"/>
      <c r="AJ973"/>
      <c r="AK973" s="14"/>
    </row>
    <row r="974" spans="4:37" ht="14.25" customHeight="1" x14ac:dyDescent="0.35">
      <c r="D974"/>
      <c r="H974" s="8"/>
      <c r="J974"/>
      <c r="K974"/>
      <c r="L974"/>
      <c r="Q974" s="1"/>
      <c r="Y974" s="4"/>
      <c r="AJ974"/>
      <c r="AK974" s="14"/>
    </row>
    <row r="975" spans="4:37" ht="14.25" customHeight="1" x14ac:dyDescent="0.35">
      <c r="D975"/>
      <c r="H975" s="8"/>
      <c r="J975"/>
      <c r="K975"/>
      <c r="L975"/>
      <c r="Q975" s="1"/>
      <c r="Y975" s="4"/>
      <c r="AJ975"/>
      <c r="AK975" s="14"/>
    </row>
    <row r="976" spans="4:37" ht="14.25" customHeight="1" x14ac:dyDescent="0.35">
      <c r="D976"/>
      <c r="H976" s="8"/>
      <c r="J976"/>
      <c r="K976"/>
      <c r="L976"/>
      <c r="Q976" s="1"/>
      <c r="Y976" s="4"/>
      <c r="AJ976"/>
      <c r="AK976" s="14"/>
    </row>
    <row r="977" spans="4:37" ht="14.25" customHeight="1" x14ac:dyDescent="0.35">
      <c r="D977"/>
      <c r="H977" s="8"/>
      <c r="J977"/>
      <c r="K977"/>
      <c r="L977"/>
      <c r="Q977" s="1"/>
      <c r="Y977" s="4"/>
      <c r="AJ977"/>
      <c r="AK977" s="14"/>
    </row>
    <row r="978" spans="4:37" ht="14.25" customHeight="1" x14ac:dyDescent="0.35">
      <c r="D978"/>
      <c r="H978" s="8"/>
      <c r="J978"/>
      <c r="K978"/>
      <c r="L978"/>
      <c r="Q978" s="1"/>
      <c r="Y978" s="4"/>
      <c r="AJ978"/>
      <c r="AK978" s="14"/>
    </row>
    <row r="979" spans="4:37" ht="14.25" customHeight="1" x14ac:dyDescent="0.35">
      <c r="D979"/>
      <c r="H979" s="8"/>
      <c r="J979"/>
      <c r="K979"/>
      <c r="L979"/>
      <c r="Q979" s="1"/>
      <c r="Y979" s="4"/>
      <c r="AJ979"/>
      <c r="AK979" s="14"/>
    </row>
    <row r="980" spans="4:37" ht="14.25" customHeight="1" x14ac:dyDescent="0.35">
      <c r="D980"/>
      <c r="H980" s="8"/>
      <c r="J980"/>
      <c r="K980"/>
      <c r="L980"/>
      <c r="Q980" s="1"/>
      <c r="Y980" s="4"/>
      <c r="AJ980"/>
      <c r="AK980" s="14"/>
    </row>
    <row r="981" spans="4:37" ht="14.25" customHeight="1" x14ac:dyDescent="0.35">
      <c r="D981"/>
      <c r="H981" s="8"/>
      <c r="J981"/>
      <c r="K981"/>
      <c r="L981"/>
      <c r="Q981" s="1"/>
      <c r="Y981" s="4"/>
      <c r="AJ981"/>
      <c r="AK981" s="14"/>
    </row>
    <row r="982" spans="4:37" ht="14.25" customHeight="1" x14ac:dyDescent="0.35">
      <c r="D982"/>
      <c r="H982" s="8"/>
      <c r="J982"/>
      <c r="K982"/>
      <c r="L982"/>
      <c r="Q982" s="1"/>
      <c r="Y982" s="4"/>
      <c r="AJ982"/>
      <c r="AK982" s="14"/>
    </row>
    <row r="983" spans="4:37" ht="14.25" customHeight="1" x14ac:dyDescent="0.35">
      <c r="D983"/>
      <c r="H983" s="8"/>
      <c r="J983"/>
      <c r="K983"/>
      <c r="L983"/>
      <c r="Q983" s="1"/>
      <c r="Y983" s="4"/>
      <c r="AJ983"/>
      <c r="AK983" s="14"/>
    </row>
    <row r="984" spans="4:37" ht="14.25" customHeight="1" x14ac:dyDescent="0.35">
      <c r="D984"/>
      <c r="H984" s="8"/>
      <c r="J984"/>
      <c r="K984"/>
      <c r="L984"/>
      <c r="Q984" s="1"/>
      <c r="Y984" s="4"/>
      <c r="AJ984"/>
      <c r="AK984" s="14"/>
    </row>
    <row r="985" spans="4:37" ht="14.25" customHeight="1" x14ac:dyDescent="0.35">
      <c r="D985"/>
      <c r="H985" s="8"/>
      <c r="J985"/>
      <c r="K985"/>
      <c r="L985"/>
      <c r="Q985" s="1"/>
      <c r="Y985" s="4"/>
      <c r="AJ985"/>
      <c r="AK985" s="14"/>
    </row>
    <row r="986" spans="4:37" ht="14.25" customHeight="1" x14ac:dyDescent="0.35">
      <c r="D986"/>
      <c r="H986" s="8"/>
      <c r="J986"/>
      <c r="K986"/>
      <c r="L986"/>
      <c r="Q986" s="1"/>
      <c r="Y986" s="4"/>
      <c r="AJ986"/>
      <c r="AK986" s="14"/>
    </row>
    <row r="987" spans="4:37" ht="14.25" customHeight="1" x14ac:dyDescent="0.35">
      <c r="D987"/>
      <c r="H987" s="8"/>
      <c r="J987"/>
      <c r="K987"/>
      <c r="L987"/>
      <c r="Q987" s="1"/>
      <c r="Y987" s="4"/>
      <c r="AJ987"/>
      <c r="AK987" s="14"/>
    </row>
    <row r="988" spans="4:37" ht="14.25" customHeight="1" x14ac:dyDescent="0.35">
      <c r="D988"/>
      <c r="H988" s="8"/>
      <c r="J988"/>
      <c r="K988"/>
      <c r="L988"/>
      <c r="Q988" s="1"/>
      <c r="Y988" s="4"/>
      <c r="AJ988"/>
      <c r="AK988" s="14"/>
    </row>
    <row r="989" spans="4:37" ht="14.25" customHeight="1" x14ac:dyDescent="0.35">
      <c r="D989"/>
      <c r="H989" s="8"/>
      <c r="J989"/>
      <c r="K989"/>
      <c r="L989"/>
      <c r="Q989" s="1"/>
      <c r="Y989" s="4"/>
      <c r="AJ989"/>
      <c r="AK989" s="14"/>
    </row>
    <row r="990" spans="4:37" ht="14.25" customHeight="1" x14ac:dyDescent="0.35">
      <c r="D990"/>
      <c r="H990" s="8"/>
      <c r="J990"/>
      <c r="K990"/>
      <c r="L990"/>
      <c r="Q990" s="1"/>
      <c r="Y990" s="4"/>
      <c r="AJ990"/>
      <c r="AK990" s="14"/>
    </row>
    <row r="991" spans="4:37" ht="14.25" customHeight="1" x14ac:dyDescent="0.35">
      <c r="D991"/>
      <c r="H991" s="8"/>
      <c r="J991"/>
      <c r="K991"/>
      <c r="L991"/>
      <c r="Q991" s="1"/>
      <c r="Y991" s="4"/>
      <c r="AJ991"/>
      <c r="AK991" s="14"/>
    </row>
    <row r="992" spans="4:37" ht="14.25" customHeight="1" x14ac:dyDescent="0.35">
      <c r="D992"/>
      <c r="H992" s="8"/>
      <c r="J992"/>
      <c r="K992"/>
      <c r="L992"/>
      <c r="Q992" s="1"/>
      <c r="Y992" s="4"/>
      <c r="AJ992"/>
      <c r="AK992" s="14"/>
    </row>
    <row r="993" spans="4:37" ht="14.25" customHeight="1" x14ac:dyDescent="0.35">
      <c r="D993"/>
      <c r="H993" s="8"/>
      <c r="J993"/>
      <c r="K993"/>
      <c r="L993"/>
      <c r="Q993" s="1"/>
      <c r="Y993" s="4"/>
      <c r="AJ993"/>
      <c r="AK993" s="14"/>
    </row>
    <row r="994" spans="4:37" ht="14.25" customHeight="1" x14ac:dyDescent="0.35">
      <c r="D994"/>
      <c r="H994" s="8"/>
      <c r="J994"/>
      <c r="K994"/>
      <c r="L994"/>
      <c r="Q994" s="1"/>
      <c r="Y994" s="4"/>
      <c r="AJ994"/>
      <c r="AK994" s="14"/>
    </row>
    <row r="995" spans="4:37" ht="14.25" customHeight="1" x14ac:dyDescent="0.35">
      <c r="D995"/>
      <c r="H995" s="8"/>
      <c r="J995"/>
      <c r="K995"/>
      <c r="L995"/>
      <c r="Q995" s="1"/>
      <c r="Y995" s="4"/>
      <c r="AJ995"/>
      <c r="AK995" s="14"/>
    </row>
    <row r="996" spans="4:37" ht="14.25" customHeight="1" x14ac:dyDescent="0.35">
      <c r="D996"/>
      <c r="H996" s="8"/>
      <c r="J996"/>
      <c r="K996"/>
      <c r="L996"/>
      <c r="Q996" s="1"/>
      <c r="Y996" s="4"/>
      <c r="AJ996"/>
      <c r="AK996" s="14"/>
    </row>
    <row r="997" spans="4:37" ht="14.25" customHeight="1" x14ac:dyDescent="0.35">
      <c r="D997"/>
      <c r="H997" s="8"/>
      <c r="J997"/>
      <c r="K997"/>
      <c r="L997"/>
      <c r="Q997" s="1"/>
      <c r="Y997" s="4"/>
      <c r="AJ997"/>
      <c r="AK997" s="14"/>
    </row>
    <row r="998" spans="4:37" ht="14.25" customHeight="1" x14ac:dyDescent="0.35">
      <c r="D998"/>
      <c r="H998" s="8"/>
      <c r="J998"/>
      <c r="K998"/>
      <c r="L998"/>
      <c r="Q998" s="1"/>
      <c r="Y998" s="4"/>
      <c r="AJ998"/>
      <c r="AK998" s="14"/>
    </row>
    <row r="999" spans="4:37" ht="14.25" customHeight="1" x14ac:dyDescent="0.35">
      <c r="D999"/>
      <c r="H999" s="8"/>
      <c r="J999"/>
      <c r="K999"/>
      <c r="L999"/>
      <c r="Q999" s="1"/>
      <c r="Y999" s="4"/>
      <c r="AJ999"/>
      <c r="AK999" s="14"/>
    </row>
    <row r="1000" spans="4:37" ht="14.25" customHeight="1" x14ac:dyDescent="0.35">
      <c r="D1000"/>
      <c r="H1000" s="8"/>
      <c r="J1000"/>
      <c r="K1000"/>
      <c r="L1000"/>
      <c r="Q1000" s="1"/>
      <c r="Y1000" s="4"/>
      <c r="AJ1000"/>
      <c r="AK1000" s="14"/>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B402-3A48-4F1E-A293-0179AED766CC}">
  <dimension ref="A1:B50"/>
  <sheetViews>
    <sheetView workbookViewId="0">
      <selection activeCell="E15" sqref="E15"/>
    </sheetView>
  </sheetViews>
  <sheetFormatPr defaultRowHeight="14.5" x14ac:dyDescent="0.35"/>
  <cols>
    <col min="1" max="1" width="12.7265625" customWidth="1"/>
    <col min="2" max="2" width="16" customWidth="1"/>
  </cols>
  <sheetData>
    <row r="1" spans="1:2" x14ac:dyDescent="0.35">
      <c r="A1" s="50" t="s">
        <v>4</v>
      </c>
      <c r="B1" s="50" t="s">
        <v>249</v>
      </c>
    </row>
    <row r="2" spans="1:2" x14ac:dyDescent="0.35">
      <c r="A2" s="51" t="s">
        <v>121</v>
      </c>
      <c r="B2" s="51" t="s">
        <v>253</v>
      </c>
    </row>
    <row r="3" spans="1:2" x14ac:dyDescent="0.35">
      <c r="A3" s="51" t="s">
        <v>256</v>
      </c>
      <c r="B3" s="51" t="s">
        <v>257</v>
      </c>
    </row>
    <row r="4" spans="1:2" x14ac:dyDescent="0.35">
      <c r="A4" s="51" t="s">
        <v>143</v>
      </c>
      <c r="B4" s="51" t="s">
        <v>261</v>
      </c>
    </row>
    <row r="5" spans="1:2" x14ac:dyDescent="0.35">
      <c r="A5" s="51" t="s">
        <v>150</v>
      </c>
      <c r="B5" s="51" t="s">
        <v>264</v>
      </c>
    </row>
    <row r="6" spans="1:2" x14ac:dyDescent="0.35">
      <c r="A6" s="51" t="s">
        <v>267</v>
      </c>
      <c r="B6" s="51" t="s">
        <v>268</v>
      </c>
    </row>
    <row r="7" spans="1:2" x14ac:dyDescent="0.35">
      <c r="A7" s="51" t="s">
        <v>118</v>
      </c>
      <c r="B7" s="51" t="s">
        <v>269</v>
      </c>
    </row>
    <row r="8" spans="1:2" x14ac:dyDescent="0.35">
      <c r="A8" s="51" t="s">
        <v>97</v>
      </c>
      <c r="B8" s="51" t="s">
        <v>272</v>
      </c>
    </row>
    <row r="9" spans="1:2" x14ac:dyDescent="0.35">
      <c r="A9" s="51" t="s">
        <v>99</v>
      </c>
      <c r="B9" s="51" t="s">
        <v>273</v>
      </c>
    </row>
    <row r="10" spans="1:2" x14ac:dyDescent="0.35">
      <c r="A10" s="51" t="s">
        <v>40</v>
      </c>
      <c r="B10" s="51" t="s">
        <v>275</v>
      </c>
    </row>
    <row r="11" spans="1:2" x14ac:dyDescent="0.35">
      <c r="A11" s="51" t="s">
        <v>276</v>
      </c>
      <c r="B11" s="51" t="s">
        <v>277</v>
      </c>
    </row>
    <row r="12" spans="1:2" x14ac:dyDescent="0.35">
      <c r="A12" s="51" t="s">
        <v>75</v>
      </c>
      <c r="B12" s="51" t="s">
        <v>278</v>
      </c>
    </row>
    <row r="13" spans="1:2" x14ac:dyDescent="0.35">
      <c r="A13" s="51" t="s">
        <v>281</v>
      </c>
      <c r="B13" s="51" t="s">
        <v>253</v>
      </c>
    </row>
    <row r="14" spans="1:2" x14ac:dyDescent="0.35">
      <c r="A14" s="51" t="s">
        <v>52</v>
      </c>
      <c r="B14" s="51" t="s">
        <v>268</v>
      </c>
    </row>
    <row r="15" spans="1:2" x14ac:dyDescent="0.35">
      <c r="A15" s="51" t="s">
        <v>101</v>
      </c>
      <c r="B15" s="51" t="s">
        <v>273</v>
      </c>
    </row>
    <row r="16" spans="1:2" x14ac:dyDescent="0.35">
      <c r="A16" s="51" t="s">
        <v>174</v>
      </c>
      <c r="B16" s="51" t="s">
        <v>285</v>
      </c>
    </row>
    <row r="17" spans="1:2" x14ac:dyDescent="0.35">
      <c r="A17" s="51" t="s">
        <v>85</v>
      </c>
      <c r="B17" s="51" t="s">
        <v>286</v>
      </c>
    </row>
    <row r="18" spans="1:2" x14ac:dyDescent="0.35">
      <c r="A18" s="51" t="s">
        <v>139</v>
      </c>
      <c r="B18" s="51" t="s">
        <v>287</v>
      </c>
    </row>
    <row r="19" spans="1:2" x14ac:dyDescent="0.35">
      <c r="A19" s="51" t="s">
        <v>94</v>
      </c>
      <c r="B19" s="51" t="s">
        <v>288</v>
      </c>
    </row>
    <row r="20" spans="1:2" x14ac:dyDescent="0.35">
      <c r="A20" s="51" t="s">
        <v>48</v>
      </c>
      <c r="B20" s="51" t="s">
        <v>269</v>
      </c>
    </row>
    <row r="21" spans="1:2" x14ac:dyDescent="0.35">
      <c r="A21" s="51" t="s">
        <v>289</v>
      </c>
      <c r="B21" s="51" t="s">
        <v>290</v>
      </c>
    </row>
    <row r="22" spans="1:2" x14ac:dyDescent="0.35">
      <c r="A22" s="51" t="s">
        <v>14</v>
      </c>
      <c r="B22" s="51" t="s">
        <v>291</v>
      </c>
    </row>
    <row r="23" spans="1:2" x14ac:dyDescent="0.35">
      <c r="A23" s="51" t="s">
        <v>148</v>
      </c>
      <c r="B23" s="51" t="s">
        <v>286</v>
      </c>
    </row>
    <row r="24" spans="1:2" x14ac:dyDescent="0.35">
      <c r="A24" s="51" t="s">
        <v>63</v>
      </c>
      <c r="B24" s="51" t="s">
        <v>292</v>
      </c>
    </row>
    <row r="25" spans="1:2" x14ac:dyDescent="0.35">
      <c r="A25" s="51" t="s">
        <v>116</v>
      </c>
      <c r="B25" s="51" t="s">
        <v>293</v>
      </c>
    </row>
    <row r="26" spans="1:2" x14ac:dyDescent="0.35">
      <c r="A26" s="51" t="s">
        <v>80</v>
      </c>
      <c r="B26" s="51" t="s">
        <v>287</v>
      </c>
    </row>
    <row r="27" spans="1:2" x14ac:dyDescent="0.35">
      <c r="A27" s="51" t="s">
        <v>131</v>
      </c>
      <c r="B27" s="51" t="s">
        <v>291</v>
      </c>
    </row>
    <row r="28" spans="1:2" x14ac:dyDescent="0.35">
      <c r="A28" s="51" t="s">
        <v>36</v>
      </c>
      <c r="B28" s="51" t="s">
        <v>294</v>
      </c>
    </row>
    <row r="29" spans="1:2" x14ac:dyDescent="0.35">
      <c r="A29" s="51" t="s">
        <v>87</v>
      </c>
      <c r="B29" s="51" t="s">
        <v>295</v>
      </c>
    </row>
    <row r="30" spans="1:2" x14ac:dyDescent="0.35">
      <c r="A30" s="51" t="s">
        <v>21</v>
      </c>
      <c r="B30" s="51" t="s">
        <v>285</v>
      </c>
    </row>
    <row r="31" spans="1:2" x14ac:dyDescent="0.35">
      <c r="A31" s="51" t="s">
        <v>296</v>
      </c>
      <c r="B31" s="51" t="s">
        <v>287</v>
      </c>
    </row>
    <row r="32" spans="1:2" x14ac:dyDescent="0.35">
      <c r="A32" s="51" t="s">
        <v>183</v>
      </c>
      <c r="B32" s="51" t="s">
        <v>297</v>
      </c>
    </row>
    <row r="33" spans="1:2" x14ac:dyDescent="0.35">
      <c r="A33" s="51" t="s">
        <v>108</v>
      </c>
      <c r="B33" s="51" t="s">
        <v>298</v>
      </c>
    </row>
    <row r="34" spans="1:2" x14ac:dyDescent="0.35">
      <c r="A34" s="51" t="s">
        <v>66</v>
      </c>
      <c r="B34" s="51" t="s">
        <v>299</v>
      </c>
    </row>
    <row r="35" spans="1:2" x14ac:dyDescent="0.35">
      <c r="A35" s="51" t="s">
        <v>193</v>
      </c>
      <c r="B35" s="51" t="s">
        <v>300</v>
      </c>
    </row>
    <row r="36" spans="1:2" x14ac:dyDescent="0.35">
      <c r="A36" s="51" t="s">
        <v>146</v>
      </c>
      <c r="B36" s="51" t="s">
        <v>301</v>
      </c>
    </row>
    <row r="37" spans="1:2" x14ac:dyDescent="0.35">
      <c r="A37" s="51" t="s">
        <v>186</v>
      </c>
      <c r="B37" s="51" t="s">
        <v>261</v>
      </c>
    </row>
    <row r="38" spans="1:2" x14ac:dyDescent="0.35">
      <c r="A38" s="51" t="s">
        <v>103</v>
      </c>
      <c r="B38" s="51" t="s">
        <v>257</v>
      </c>
    </row>
    <row r="39" spans="1:2" x14ac:dyDescent="0.35">
      <c r="A39" s="51" t="s">
        <v>302</v>
      </c>
      <c r="B39" s="51" t="s">
        <v>303</v>
      </c>
    </row>
    <row r="40" spans="1:2" x14ac:dyDescent="0.35">
      <c r="A40" s="51" t="s">
        <v>127</v>
      </c>
      <c r="B40" s="51" t="s">
        <v>304</v>
      </c>
    </row>
    <row r="41" spans="1:2" x14ac:dyDescent="0.35">
      <c r="A41" s="51" t="s">
        <v>89</v>
      </c>
      <c r="B41" s="51" t="s">
        <v>305</v>
      </c>
    </row>
    <row r="42" spans="1:2" x14ac:dyDescent="0.35">
      <c r="A42" s="51" t="s">
        <v>78</v>
      </c>
      <c r="B42" s="51" t="s">
        <v>306</v>
      </c>
    </row>
    <row r="43" spans="1:2" x14ac:dyDescent="0.35">
      <c r="A43" s="51" t="s">
        <v>43</v>
      </c>
      <c r="B43" s="51" t="s">
        <v>264</v>
      </c>
    </row>
    <row r="44" spans="1:2" x14ac:dyDescent="0.35">
      <c r="A44" s="51" t="s">
        <v>178</v>
      </c>
      <c r="B44" s="51" t="s">
        <v>307</v>
      </c>
    </row>
    <row r="45" spans="1:2" x14ac:dyDescent="0.35">
      <c r="A45" s="51" t="s">
        <v>32</v>
      </c>
      <c r="B45" s="51" t="s">
        <v>308</v>
      </c>
    </row>
    <row r="46" spans="1:2" x14ac:dyDescent="0.35">
      <c r="A46" s="51" t="s">
        <v>60</v>
      </c>
      <c r="B46" s="51" t="s">
        <v>257</v>
      </c>
    </row>
    <row r="47" spans="1:2" x14ac:dyDescent="0.35">
      <c r="A47" s="51" t="s">
        <v>57</v>
      </c>
      <c r="B47" s="51" t="s">
        <v>257</v>
      </c>
    </row>
    <row r="48" spans="1:2" x14ac:dyDescent="0.35">
      <c r="A48" s="51" t="s">
        <v>71</v>
      </c>
      <c r="B48" s="51" t="s">
        <v>293</v>
      </c>
    </row>
    <row r="49" spans="1:2" x14ac:dyDescent="0.35">
      <c r="A49" s="51" t="s">
        <v>152</v>
      </c>
      <c r="B49" s="51" t="s">
        <v>264</v>
      </c>
    </row>
    <row r="50" spans="1:2" x14ac:dyDescent="0.35">
      <c r="A50" s="51" t="s">
        <v>309</v>
      </c>
      <c r="B50" s="51" t="s">
        <v>310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D4A5-8168-46F7-B582-7735033DA5D3}">
  <dimension ref="A1:C102"/>
  <sheetViews>
    <sheetView workbookViewId="0">
      <selection activeCell="E15" sqref="E15"/>
    </sheetView>
  </sheetViews>
  <sheetFormatPr defaultRowHeight="14.5" x14ac:dyDescent="0.35"/>
  <cols>
    <col min="1" max="1" width="11.26953125" bestFit="1" customWidth="1"/>
    <col min="2" max="2" width="17.54296875" bestFit="1" customWidth="1"/>
    <col min="3" max="3" width="14.81640625" bestFit="1" customWidth="1"/>
  </cols>
  <sheetData>
    <row r="1" spans="1:3" x14ac:dyDescent="0.35">
      <c r="A1" s="38" t="s">
        <v>4</v>
      </c>
      <c r="B1" s="37" t="s">
        <v>249</v>
      </c>
      <c r="C1" s="37" t="s">
        <v>322</v>
      </c>
    </row>
    <row r="2" spans="1:3" x14ac:dyDescent="0.35">
      <c r="A2" s="35" t="s">
        <v>14</v>
      </c>
      <c r="B2" s="32" t="str">
        <f>IFERROR(VLOOKUP(A2,'Customer Master'!A:B,2,0),"Unknown Customer")</f>
        <v>Zoe Mitchell</v>
      </c>
      <c r="C2" s="32" t="str">
        <f>IFERROR(
IF(AmazonSales!E:E&lt;&gt;"","Cancelled",
IF(AmazonSales!C:C="","No Delivery Date",
IF(AmazonSales!C:C&lt;AmazonSales!B:B,"Check Dates",
IF(AmazonSales!C:C-AmazonSales!B:B&lt;=2,"Fast","Slow")
)
)
),
)</f>
        <v>Cancelled</v>
      </c>
    </row>
    <row r="3" spans="1:3" x14ac:dyDescent="0.35">
      <c r="A3" s="35" t="s">
        <v>21</v>
      </c>
      <c r="B3" s="32" t="str">
        <f>IFERROR(VLOOKUP(A3,'Customer Master'!A:B,2,0),"Unknown Customer")</f>
        <v>Ava White</v>
      </c>
      <c r="C3" s="32" t="str">
        <f>IFERROR(
IF(AmazonSales!E:E&lt;&gt;"","Cancelled",
IF(AmazonSales!C:C="","No Delivery Date",
IF(AmazonSales!C:C&lt;AmazonSales!B:B,"Check Dates",
IF(AmazonSales!C:C-AmazonSales!B:B&lt;=2,"Fast","Slow")
)
)
),
)</f>
        <v>Fast</v>
      </c>
    </row>
    <row r="4" spans="1:3" x14ac:dyDescent="0.35">
      <c r="A4" s="35" t="s">
        <v>14</v>
      </c>
      <c r="B4" s="32" t="str">
        <f>IFERROR(VLOOKUP(A4,'Customer Master'!A:B,2,0),"Unknown Customer")</f>
        <v>Zoe Mitchell</v>
      </c>
      <c r="C4" s="32" t="str">
        <f>IFERROR(
IF(AmazonSales!E:E&lt;&gt;"","Cancelled",
IF(AmazonSales!C:C="","No Delivery Date",
IF(AmazonSales!C:C&lt;AmazonSales!B:B,"Check Dates",
IF(AmazonSales!C:C-AmazonSales!B:B&lt;=2,"Fast","Slow")
)
)
),
)</f>
        <v>No Delivery Date</v>
      </c>
    </row>
    <row r="5" spans="1:3" x14ac:dyDescent="0.35">
      <c r="A5" s="35" t="s">
        <v>32</v>
      </c>
      <c r="B5" s="32" t="str">
        <f>IFERROR(VLOOKUP(A5,'Customer Master'!A:B,2,0),"Unknown Customer")</f>
        <v>Grace Ward</v>
      </c>
      <c r="C5" s="32" t="str">
        <f>IFERROR(
IF(AmazonSales!E:E&lt;&gt;"","Cancelled",
IF(AmazonSales!C:C="","No Delivery Date",
IF(AmazonSales!C:C&lt;AmazonSales!B:B,"Check Dates",
IF(AmazonSales!C:C-AmazonSales!B:B&lt;=2,"Fast","Slow")
)
)
),
)</f>
        <v>Cancelled</v>
      </c>
    </row>
    <row r="6" spans="1:3" x14ac:dyDescent="0.35">
      <c r="A6" s="35" t="s">
        <v>36</v>
      </c>
      <c r="B6" s="32" t="str">
        <f>IFERROR(VLOOKUP(A6,'Customer Master'!A:B,2,0),"Unknown Customer")</f>
        <v>Hazel Brooks</v>
      </c>
      <c r="C6" s="32" t="str">
        <f>IFERROR(
IF(AmazonSales!E:E&lt;&gt;"","Cancelled",
IF(AmazonSales!C:C="","No Delivery Date",
IF(AmazonSales!C:C&lt;AmazonSales!B:B,"Check Dates",
IF(AmazonSales!C:C-AmazonSales!B:B&lt;=2,"Fast","Slow")
)
)
),
)</f>
        <v>Slow</v>
      </c>
    </row>
    <row r="7" spans="1:3" x14ac:dyDescent="0.35">
      <c r="A7" s="35" t="s">
        <v>40</v>
      </c>
      <c r="B7" s="32" t="str">
        <f>IFERROR(VLOOKUP(A7,'Customer Master'!A:B,2,0),"Unknown Customer")</f>
        <v>Jackson Allen</v>
      </c>
      <c r="C7" s="32" t="str">
        <f>IFERROR(
IF(AmazonSales!E:E&lt;&gt;"","Cancelled",
IF(AmazonSales!C:C="","No Delivery Date",
IF(AmazonSales!C:C&lt;AmazonSales!B:B,"Check Dates",
IF(AmazonSales!C:C-AmazonSales!B:B&lt;=2,"Fast","Slow")
)
)
),
)</f>
        <v>Cancelled</v>
      </c>
    </row>
    <row r="8" spans="1:3" x14ac:dyDescent="0.35">
      <c r="A8" s="35" t="s">
        <v>43</v>
      </c>
      <c r="B8" s="32" t="str">
        <f>IFERROR(VLOOKUP(A8,'Customer Master'!A:B,2,0),"Unknown Customer")</f>
        <v>Noah Wilson</v>
      </c>
      <c r="C8" s="32" t="str">
        <f>IFERROR(
IF(AmazonSales!E:E&lt;&gt;"","Cancelled",
IF(AmazonSales!C:C="","No Delivery Date",
IF(AmazonSales!C:C&lt;AmazonSales!B:B,"Check Dates",
IF(AmazonSales!C:C-AmazonSales!B:B&lt;=2,"Fast","Slow")
)
)
),
)</f>
        <v>Cancelled</v>
      </c>
    </row>
    <row r="9" spans="1:3" x14ac:dyDescent="0.35">
      <c r="A9" s="35" t="s">
        <v>48</v>
      </c>
      <c r="B9" s="32" t="str">
        <f>IFERROR(VLOOKUP(A9,'Customer Master'!A:B,2,0),"Unknown Customer")</f>
        <v>Ava Robinson</v>
      </c>
      <c r="C9" s="32" t="str">
        <f>IFERROR(
IF(AmazonSales!E:E&lt;&gt;"","Cancelled",
IF(AmazonSales!C:C="","No Delivery Date",
IF(AmazonSales!C:C&lt;AmazonSales!B:B,"Check Dates",
IF(AmazonSales!C:C-AmazonSales!B:B&lt;=2,"Fast","Slow")
)
)
),
)</f>
        <v>Cancelled</v>
      </c>
    </row>
    <row r="10" spans="1:3" x14ac:dyDescent="0.35">
      <c r="A10" s="35" t="s">
        <v>52</v>
      </c>
      <c r="B10" s="32" t="str">
        <f>IFERROR(VLOOKUP(A10,'Customer Master'!A:B,2,0),"Unknown Customer")</f>
        <v>Olivia Martinez</v>
      </c>
      <c r="C10" s="32" t="str">
        <f>IFERROR(
IF(AmazonSales!E:E&lt;&gt;"","Cancelled",
IF(AmazonSales!C:C="","No Delivery Date",
IF(AmazonSales!C:C&lt;AmazonSales!B:B,"Check Dates",
IF(AmazonSales!C:C-AmazonSales!B:B&lt;=2,"Fast","Slow")
)
)
),
)</f>
        <v>No Delivery Date</v>
      </c>
    </row>
    <row r="11" spans="1:3" x14ac:dyDescent="0.35">
      <c r="A11" s="35" t="s">
        <v>48</v>
      </c>
      <c r="B11" s="32" t="str">
        <f>IFERROR(VLOOKUP(A11,'Customer Master'!A:B,2,0),"Unknown Customer")</f>
        <v>Ava Robinson</v>
      </c>
      <c r="C11" s="32" t="str">
        <f>IFERROR(
IF(AmazonSales!E:E&lt;&gt;"","Cancelled",
IF(AmazonSales!C:C="","No Delivery Date",
IF(AmazonSales!C:C&lt;AmazonSales!B:B,"Check Dates",
IF(AmazonSales!C:C-AmazonSales!B:B&lt;=2,"Fast","Slow")
)
)
),
)</f>
        <v>No Delivery Date</v>
      </c>
    </row>
    <row r="12" spans="1:3" x14ac:dyDescent="0.35">
      <c r="A12" s="35" t="s">
        <v>57</v>
      </c>
      <c r="B12" s="32" t="str">
        <f>IFERROR(VLOOKUP(A12,'Customer Master'!A:B,2,0),"Unknown Customer")</f>
        <v>Emily Johnson</v>
      </c>
      <c r="C12" s="32" t="str">
        <f>IFERROR(
IF(AmazonSales!E:E&lt;&gt;"","Cancelled",
IF(AmazonSales!C:C="","No Delivery Date",
IF(AmazonSales!C:C&lt;AmazonSales!B:B,"Check Dates",
IF(AmazonSales!C:C-AmazonSales!B:B&lt;=2,"Fast","Slow")
)
)
),
)</f>
        <v>Cancelled</v>
      </c>
    </row>
    <row r="13" spans="1:3" x14ac:dyDescent="0.35">
      <c r="A13" s="35" t="s">
        <v>60</v>
      </c>
      <c r="B13" s="32" t="str">
        <f>IFERROR(VLOOKUP(A13,'Customer Master'!A:B,2,0),"Unknown Customer")</f>
        <v>Emily Johnson</v>
      </c>
      <c r="C13" s="32" t="str">
        <f>IFERROR(
IF(AmazonSales!E:E&lt;&gt;"","Cancelled",
IF(AmazonSales!C:C="","No Delivery Date",
IF(AmazonSales!C:C&lt;AmazonSales!B:B,"Check Dates",
IF(AmazonSales!C:C-AmazonSales!B:B&lt;=2,"Fast","Slow")
)
)
),
)</f>
        <v>No Delivery Date</v>
      </c>
    </row>
    <row r="14" spans="1:3" x14ac:dyDescent="0.35">
      <c r="A14" s="35" t="s">
        <v>63</v>
      </c>
      <c r="B14" s="32" t="str">
        <f>IFERROR(VLOOKUP(A14,'Customer Master'!A:B,2,0),"Unknown Customer")</f>
        <v>Charlotte Reed</v>
      </c>
      <c r="C14" s="32" t="str">
        <f>IFERROR(
IF(AmazonSales!E:E&lt;&gt;"","Cancelled",
IF(AmazonSales!C:C="","No Delivery Date",
IF(AmazonSales!C:C&lt;AmazonSales!B:B,"Check Dates",
IF(AmazonSales!C:C-AmazonSales!B:B&lt;=2,"Fast","Slow")
)
)
),
)</f>
        <v>Cancelled</v>
      </c>
    </row>
    <row r="15" spans="1:3" x14ac:dyDescent="0.35">
      <c r="A15" s="35" t="s">
        <v>66</v>
      </c>
      <c r="B15" s="32" t="str">
        <f>IFERROR(VLOOKUP(A15,'Customer Master'!A:B,2,0),"Unknown Customer")</f>
        <v>Hazel Rivera</v>
      </c>
      <c r="C15" s="32" t="str">
        <f>IFERROR(
IF(AmazonSales!E:E&lt;&gt;"","Cancelled",
IF(AmazonSales!C:C="","No Delivery Date",
IF(AmazonSales!C:C&lt;AmazonSales!B:B,"Check Dates",
IF(AmazonSales!C:C-AmazonSales!B:B&lt;=2,"Fast","Slow")
)
)
),
)</f>
        <v>Cancelled</v>
      </c>
    </row>
    <row r="16" spans="1:3" x14ac:dyDescent="0.35">
      <c r="A16" s="35" t="s">
        <v>66</v>
      </c>
      <c r="B16" s="32" t="str">
        <f>IFERROR(VLOOKUP(A16,'Customer Master'!A:B,2,0),"Unknown Customer")</f>
        <v>Hazel Rivera</v>
      </c>
      <c r="C16" s="32" t="str">
        <f>IFERROR(
IF(AmazonSales!E:E&lt;&gt;"","Cancelled",
IF(AmazonSales!C:C="","No Delivery Date",
IF(AmazonSales!C:C&lt;AmazonSales!B:B,"Check Dates",
IF(AmazonSales!C:C-AmazonSales!B:B&lt;=2,"Fast","Slow")
)
)
),
)</f>
        <v>Cancelled</v>
      </c>
    </row>
    <row r="17" spans="1:3" x14ac:dyDescent="0.35">
      <c r="A17" s="35" t="s">
        <v>71</v>
      </c>
      <c r="B17" s="32" t="str">
        <f>IFERROR(VLOOKUP(A17,'Customer Master'!A:B,2,0),"Unknown Customer")</f>
        <v>Scarlett Murphy</v>
      </c>
      <c r="C17" s="32" t="str">
        <f>IFERROR(
IF(AmazonSales!E:E&lt;&gt;"","Cancelled",
IF(AmazonSales!C:C="","No Delivery Date",
IF(AmazonSales!C:C&lt;AmazonSales!B:B,"Check Dates",
IF(AmazonSales!C:C-AmazonSales!B:B&lt;=2,"Fast","Slow")
)
)
),
)</f>
        <v>No Delivery Date</v>
      </c>
    </row>
    <row r="18" spans="1:3" x14ac:dyDescent="0.35">
      <c r="A18" s="35" t="s">
        <v>60</v>
      </c>
      <c r="B18" s="32" t="str">
        <f>IFERROR(VLOOKUP(A18,'Customer Master'!A:B,2,0),"Unknown Customer")</f>
        <v>Emily Johnson</v>
      </c>
      <c r="C18" s="32" t="str">
        <f>IFERROR(
IF(AmazonSales!E:E&lt;&gt;"","Cancelled",
IF(AmazonSales!C:C="","No Delivery Date",
IF(AmazonSales!C:C&lt;AmazonSales!B:B,"Check Dates",
IF(AmazonSales!C:C-AmazonSales!B:B&lt;=2,"Fast","Slow")
)
)
),
)</f>
        <v>Slow</v>
      </c>
    </row>
    <row r="19" spans="1:3" x14ac:dyDescent="0.35">
      <c r="A19" s="35" t="s">
        <v>75</v>
      </c>
      <c r="B19" s="32" t="str">
        <f>IFERROR(VLOOKUP(A19,'Customer Master'!A:B,2,0),"Unknown Customer")</f>
        <v>Mason Hall</v>
      </c>
      <c r="C19" s="32" t="str">
        <f>IFERROR(
IF(AmazonSales!E:E&lt;&gt;"","Cancelled",
IF(AmazonSales!C:C="","No Delivery Date",
IF(AmazonSales!C:C&lt;AmazonSales!B:B,"Check Dates",
IF(AmazonSales!C:C-AmazonSales!B:B&lt;=2,"Fast","Slow")
)
)
),
)</f>
        <v>No Delivery Date</v>
      </c>
    </row>
    <row r="20" spans="1:3" x14ac:dyDescent="0.35">
      <c r="A20" s="35" t="s">
        <v>78</v>
      </c>
      <c r="B20" s="32" t="str">
        <f>IFERROR(VLOOKUP(A20,'Customer Master'!A:B,2,0),"Unknown Customer")</f>
        <v>Jacob Price</v>
      </c>
      <c r="C20" s="32" t="str">
        <f>IFERROR(
IF(AmazonSales!E:E&lt;&gt;"","Cancelled",
IF(AmazonSales!C:C="","No Delivery Date",
IF(AmazonSales!C:C&lt;AmazonSales!B:B,"Check Dates",
IF(AmazonSales!C:C-AmazonSales!B:B&lt;=2,"Fast","Slow")
)
)
),
)</f>
        <v>No Delivery Date</v>
      </c>
    </row>
    <row r="21" spans="1:3" x14ac:dyDescent="0.35">
      <c r="A21" s="35" t="s">
        <v>80</v>
      </c>
      <c r="B21" s="32" t="str">
        <f>IFERROR(VLOOKUP(A21,'Customer Master'!A:B,2,0),"Unknown Customer")</f>
        <v>Emma King</v>
      </c>
      <c r="C21" s="32" t="str">
        <f>IFERROR(
IF(AmazonSales!E:E&lt;&gt;"","Cancelled",
IF(AmazonSales!C:C="","No Delivery Date",
IF(AmazonSales!C:C&lt;AmazonSales!B:B,"Check Dates",
IF(AmazonSales!C:C-AmazonSales!B:B&lt;=2,"Fast","Slow")
)
)
),
)</f>
        <v>No Delivery Date</v>
      </c>
    </row>
    <row r="22" spans="1:3" x14ac:dyDescent="0.35">
      <c r="A22" s="35" t="s">
        <v>52</v>
      </c>
      <c r="B22" s="32" t="str">
        <f>IFERROR(VLOOKUP(A22,'Customer Master'!A:B,2,0),"Unknown Customer")</f>
        <v>Olivia Martinez</v>
      </c>
      <c r="C22" s="32" t="str">
        <f>IFERROR(
IF(AmazonSales!E:E&lt;&gt;"","Cancelled",
IF(AmazonSales!C:C="","No Delivery Date",
IF(AmazonSales!C:C&lt;AmazonSales!B:B,"Check Dates",
IF(AmazonSales!C:C-AmazonSales!B:B&lt;=2,"Fast","Slow")
)
)
),
)</f>
        <v>No Delivery Date</v>
      </c>
    </row>
    <row r="23" spans="1:3" x14ac:dyDescent="0.35">
      <c r="A23" s="35" t="s">
        <v>63</v>
      </c>
      <c r="B23" s="32" t="str">
        <f>IFERROR(VLOOKUP(A23,'Customer Master'!A:B,2,0),"Unknown Customer")</f>
        <v>Charlotte Reed</v>
      </c>
      <c r="C23" s="32" t="str">
        <f>IFERROR(
IF(AmazonSales!E:E&lt;&gt;"","Cancelled",
IF(AmazonSales!C:C="","No Delivery Date",
IF(AmazonSales!C:C&lt;AmazonSales!B:B,"Check Dates",
IF(AmazonSales!C:C-AmazonSales!B:B&lt;=2,"Fast","Slow")
)
)
),
)</f>
        <v>No Delivery Date</v>
      </c>
    </row>
    <row r="24" spans="1:3" x14ac:dyDescent="0.35">
      <c r="A24" s="35" t="s">
        <v>85</v>
      </c>
      <c r="B24" s="32" t="str">
        <f>IFERROR(VLOOKUP(A24,'Customer Master'!A:B,2,0),"Unknown Customer")</f>
        <v>Elijah Lewis</v>
      </c>
      <c r="C24" s="32" t="str">
        <f>IFERROR(
IF(AmazonSales!E:E&lt;&gt;"","Cancelled",
IF(AmazonSales!C:C="","No Delivery Date",
IF(AmazonSales!C:C&lt;AmazonSales!B:B,"Check Dates",
IF(AmazonSales!C:C-AmazonSales!B:B&lt;=2,"Fast","Slow")
)
)
),
)</f>
        <v>Cancelled</v>
      </c>
    </row>
    <row r="25" spans="1:3" x14ac:dyDescent="0.35">
      <c r="A25" s="35" t="s">
        <v>87</v>
      </c>
      <c r="B25" s="32" t="str">
        <f>IFERROR(VLOOKUP(A25,'Customer Master'!A:B,2,0),"Unknown Customer")</f>
        <v>Lily Bennett</v>
      </c>
      <c r="C25" s="32" t="str">
        <f>IFERROR(
IF(AmazonSales!E:E&lt;&gt;"","Cancelled",
IF(AmazonSales!C:C="","No Delivery Date",
IF(AmazonSales!C:C&lt;AmazonSales!B:B,"Check Dates",
IF(AmazonSales!C:C-AmazonSales!B:B&lt;=2,"Fast","Slow")
)
)
),
)</f>
        <v>Slow</v>
      </c>
    </row>
    <row r="26" spans="1:3" x14ac:dyDescent="0.35">
      <c r="A26" s="35" t="s">
        <v>89</v>
      </c>
      <c r="B26" s="32" t="str">
        <f>IFERROR(VLOOKUP(A26,'Customer Master'!A:B,2,0),"Unknown Customer")</f>
        <v>Benjamin Clark</v>
      </c>
      <c r="C26" s="32" t="str">
        <f>IFERROR(
IF(AmazonSales!E:E&lt;&gt;"","Cancelled",
IF(AmazonSales!C:C="","No Delivery Date",
IF(AmazonSales!C:C&lt;AmazonSales!B:B,"Check Dates",
IF(AmazonSales!C:C-AmazonSales!B:B&lt;=2,"Fast","Slow")
)
)
),
)</f>
        <v>Fast</v>
      </c>
    </row>
    <row r="27" spans="1:3" x14ac:dyDescent="0.35">
      <c r="A27" s="35" t="s">
        <v>36</v>
      </c>
      <c r="B27" s="32" t="str">
        <f>IFERROR(VLOOKUP(A27,'Customer Master'!A:B,2,0),"Unknown Customer")</f>
        <v>Hazel Brooks</v>
      </c>
      <c r="C27" s="32" t="str">
        <f>IFERROR(
IF(AmazonSales!E:E&lt;&gt;"","Cancelled",
IF(AmazonSales!C:C="","No Delivery Date",
IF(AmazonSales!C:C&lt;AmazonSales!B:B,"Check Dates",
IF(AmazonSales!C:C-AmazonSales!B:B&lt;=2,"Fast","Slow")
)
)
),
)</f>
        <v>Slow</v>
      </c>
    </row>
    <row r="28" spans="1:3" x14ac:dyDescent="0.35">
      <c r="A28" s="35" t="s">
        <v>94</v>
      </c>
      <c r="B28" s="32" t="str">
        <f>IFERROR(VLOOKUP(A28,'Customer Master'!A:B,2,0),"Unknown Customer")</f>
        <v>Grace Scott</v>
      </c>
      <c r="C28" s="32" t="str">
        <f>IFERROR(
IF(AmazonSales!E:E&lt;&gt;"","Cancelled",
IF(AmazonSales!C:C="","No Delivery Date",
IF(AmazonSales!C:C&lt;AmazonSales!B:B,"Check Dates",
IF(AmazonSales!C:C-AmazonSales!B:B&lt;=2,"Fast","Slow")
)
)
),
)</f>
        <v>No Delivery Date</v>
      </c>
    </row>
    <row r="29" spans="1:3" x14ac:dyDescent="0.35">
      <c r="A29" s="35" t="s">
        <v>94</v>
      </c>
      <c r="B29" s="32" t="str">
        <f>IFERROR(VLOOKUP(A29,'Customer Master'!A:B,2,0),"Unknown Customer")</f>
        <v>Grace Scott</v>
      </c>
      <c r="C29" s="32" t="str">
        <f>IFERROR(
IF(AmazonSales!E:E&lt;&gt;"","Cancelled",
IF(AmazonSales!C:C="","No Delivery Date",
IF(AmazonSales!C:C&lt;AmazonSales!B:B,"Check Dates",
IF(AmazonSales!C:C-AmazonSales!B:B&lt;=2,"Fast","Slow")
)
)
),
)</f>
        <v>No Delivery Date</v>
      </c>
    </row>
    <row r="30" spans="1:3" x14ac:dyDescent="0.35">
      <c r="A30" s="35" t="s">
        <v>97</v>
      </c>
      <c r="B30" s="32" t="str">
        <f>IFERROR(VLOOKUP(A30,'Customer Master'!A:B,2,0),"Unknown Customer")</f>
        <v>Liam Walker</v>
      </c>
      <c r="C30" s="32" t="str">
        <f>IFERROR(
IF(AmazonSales!E:E&lt;&gt;"","Cancelled",
IF(AmazonSales!C:C="","No Delivery Date",
IF(AmazonSales!C:C&lt;AmazonSales!B:B,"Check Dates",
IF(AmazonSales!C:C-AmazonSales!B:B&lt;=2,"Fast","Slow")
)
)
),
)</f>
        <v>Cancelled</v>
      </c>
    </row>
    <row r="31" spans="1:3" x14ac:dyDescent="0.35">
      <c r="A31" s="35" t="s">
        <v>99</v>
      </c>
      <c r="B31" s="32" t="str">
        <f>IFERROR(VLOOKUP(A31,'Customer Master'!A:B,2,0),"Unknown Customer")</f>
        <v>Harper Young</v>
      </c>
      <c r="C31" s="32" t="str">
        <f>IFERROR(
IF(AmazonSales!E:E&lt;&gt;"","Cancelled",
IF(AmazonSales!C:C="","No Delivery Date",
IF(AmazonSales!C:C&lt;AmazonSales!B:B,"Check Dates",
IF(AmazonSales!C:C-AmazonSales!B:B&lt;=2,"Fast","Slow")
)
)
),
)</f>
        <v>No Delivery Date</v>
      </c>
    </row>
    <row r="32" spans="1:3" x14ac:dyDescent="0.35">
      <c r="A32" s="35" t="s">
        <v>101</v>
      </c>
      <c r="B32" s="32" t="str">
        <f>IFERROR(VLOOKUP(A32,'Customer Master'!A:B,2,0),"Unknown Customer")</f>
        <v>Harper Young</v>
      </c>
      <c r="C32" s="32" t="str">
        <f>IFERROR(
IF(AmazonSales!E:E&lt;&gt;"","Cancelled",
IF(AmazonSales!C:C="","No Delivery Date",
IF(AmazonSales!C:C&lt;AmazonSales!B:B,"Check Dates",
IF(AmazonSales!C:C-AmazonSales!B:B&lt;=2,"Fast","Slow")
)
)
),
)</f>
        <v>No Delivery Date</v>
      </c>
    </row>
    <row r="33" spans="1:3" x14ac:dyDescent="0.35">
      <c r="A33" s="35" t="s">
        <v>103</v>
      </c>
      <c r="B33" s="32" t="str">
        <f>IFERROR(VLOOKUP(A33,'Customer Master'!A:B,2,0),"Unknown Customer")</f>
        <v>Emily Johnson</v>
      </c>
      <c r="C33" s="32" t="str">
        <f>IFERROR(
IF(AmazonSales!E:E&lt;&gt;"","Cancelled",
IF(AmazonSales!C:C="","No Delivery Date",
IF(AmazonSales!C:C&lt;AmazonSales!B:B,"Check Dates",
IF(AmazonSales!C:C-AmazonSales!B:B&lt;=2,"Fast","Slow")
)
)
),
)</f>
        <v>Cancelled</v>
      </c>
    </row>
    <row r="34" spans="1:3" x14ac:dyDescent="0.35">
      <c r="A34" s="35" t="s">
        <v>85</v>
      </c>
      <c r="B34" s="32" t="str">
        <f>IFERROR(VLOOKUP(A34,'Customer Master'!A:B,2,0),"Unknown Customer")</f>
        <v>Elijah Lewis</v>
      </c>
      <c r="C34" s="32" t="str">
        <f>IFERROR(
IF(AmazonSales!E:E&lt;&gt;"","Cancelled",
IF(AmazonSales!C:C="","No Delivery Date",
IF(AmazonSales!C:C&lt;AmazonSales!B:B,"Check Dates",
IF(AmazonSales!C:C-AmazonSales!B:B&lt;=2,"Fast","Slow")
)
)
),
)</f>
        <v>Fast</v>
      </c>
    </row>
    <row r="35" spans="1:3" x14ac:dyDescent="0.35">
      <c r="A35" s="35" t="s">
        <v>80</v>
      </c>
      <c r="B35" s="32" t="str">
        <f>IFERROR(VLOOKUP(A35,'Customer Master'!A:B,2,0),"Unknown Customer")</f>
        <v>Emma King</v>
      </c>
      <c r="C35" s="32" t="str">
        <f>IFERROR(
IF(AmazonSales!E:E&lt;&gt;"","Cancelled",
IF(AmazonSales!C:C="","No Delivery Date",
IF(AmazonSales!C:C&lt;AmazonSales!B:B,"Check Dates",
IF(AmazonSales!C:C-AmazonSales!B:B&lt;=2,"Fast","Slow")
)
)
),
)</f>
        <v>No Delivery Date</v>
      </c>
    </row>
    <row r="36" spans="1:3" x14ac:dyDescent="0.35">
      <c r="A36" s="35" t="s">
        <v>108</v>
      </c>
      <c r="B36" s="32" t="str">
        <f>IFERROR(VLOOKUP(A36,'Customer Master'!A:B,2,0),"Unknown Customer")</f>
        <v>Luke Gray</v>
      </c>
      <c r="C36" s="32" t="str">
        <f>IFERROR(
IF(AmazonSales!E:E&lt;&gt;"","Cancelled",
IF(AmazonSales!C:C="","No Delivery Date",
IF(AmazonSales!C:C&lt;AmazonSales!B:B,"Check Dates",
IF(AmazonSales!C:C-AmazonSales!B:B&lt;=2,"Fast","Slow")
)
)
),
)</f>
        <v>Slow</v>
      </c>
    </row>
    <row r="37" spans="1:3" x14ac:dyDescent="0.35">
      <c r="A37" s="35" t="s">
        <v>101</v>
      </c>
      <c r="B37" s="32" t="str">
        <f>IFERROR(VLOOKUP(A37,'Customer Master'!A:B,2,0),"Unknown Customer")</f>
        <v>Harper Young</v>
      </c>
      <c r="C37" s="32" t="str">
        <f>IFERROR(
IF(AmazonSales!E:E&lt;&gt;"","Cancelled",
IF(AmazonSales!C:C="","No Delivery Date",
IF(AmazonSales!C:C&lt;AmazonSales!B:B,"Check Dates",
IF(AmazonSales!C:C-AmazonSales!B:B&lt;=2,"Fast","Slow")
)
)
),
)</f>
        <v>No Delivery Date</v>
      </c>
    </row>
    <row r="38" spans="1:3" x14ac:dyDescent="0.35">
      <c r="A38" s="35" t="s">
        <v>32</v>
      </c>
      <c r="B38" s="32" t="str">
        <f>IFERROR(VLOOKUP(A38,'Customer Master'!A:B,2,0),"Unknown Customer")</f>
        <v>Grace Ward</v>
      </c>
      <c r="C38" s="32" t="str">
        <f>IFERROR(
IF(AmazonSales!E:E&lt;&gt;"","Cancelled",
IF(AmazonSales!C:C="","No Delivery Date",
IF(AmazonSales!C:C&lt;AmazonSales!B:B,"Check Dates",
IF(AmazonSales!C:C-AmazonSales!B:B&lt;=2,"Fast","Slow")
)
)
),
)</f>
        <v>Slow</v>
      </c>
    </row>
    <row r="39" spans="1:3" x14ac:dyDescent="0.35">
      <c r="A39" s="35" t="s">
        <v>87</v>
      </c>
      <c r="B39" s="32" t="str">
        <f>IFERROR(VLOOKUP(A39,'Customer Master'!A:B,2,0),"Unknown Customer")</f>
        <v>Lily Bennett</v>
      </c>
      <c r="C39" s="32" t="str">
        <f>IFERROR(
IF(AmazonSales!E:E&lt;&gt;"","Cancelled",
IF(AmazonSales!C:C="","No Delivery Date",
IF(AmazonSales!C:C&lt;AmazonSales!B:B,"Check Dates",
IF(AmazonSales!C:C-AmazonSales!B:B&lt;=2,"Fast","Slow")
)
)
),
)</f>
        <v>Cancelled</v>
      </c>
    </row>
    <row r="40" spans="1:3" x14ac:dyDescent="0.35">
      <c r="A40" s="35" t="s">
        <v>116</v>
      </c>
      <c r="B40" s="32" t="str">
        <f>IFERROR(VLOOKUP(A40,'Customer Master'!A:B,2,0),"Unknown Customer")</f>
        <v>Scarlett Murphy</v>
      </c>
      <c r="C40" s="32" t="str">
        <f>IFERROR(
IF(AmazonSales!E:E&lt;&gt;"","Cancelled",
IF(AmazonSales!C:C="","No Delivery Date",
IF(AmazonSales!C:C&lt;AmazonSales!B:B,"Check Dates",
IF(AmazonSales!C:C-AmazonSales!B:B&lt;=2,"Fast","Slow")
)
)
),
)</f>
        <v>No Delivery Date</v>
      </c>
    </row>
    <row r="41" spans="1:3" x14ac:dyDescent="0.35">
      <c r="A41" s="35" t="s">
        <v>118</v>
      </c>
      <c r="B41" s="32" t="str">
        <f>IFERROR(VLOOKUP(A41,'Customer Master'!A:B,2,0),"Unknown Customer")</f>
        <v>Ava Robinson</v>
      </c>
      <c r="C41" s="32" t="str">
        <f>IFERROR(
IF(AmazonSales!E:E&lt;&gt;"","Cancelled",
IF(AmazonSales!C:C="","No Delivery Date",
IF(AmazonSales!C:C&lt;AmazonSales!B:B,"Check Dates",
IF(AmazonSales!C:C-AmazonSales!B:B&lt;=2,"Fast","Slow")
)
)
),
)</f>
        <v>No Delivery Date</v>
      </c>
    </row>
    <row r="42" spans="1:3" x14ac:dyDescent="0.35">
      <c r="A42" s="35" t="s">
        <v>121</v>
      </c>
      <c r="B42" s="32" t="str">
        <f>IFERROR(VLOOKUP(A42,'Customer Master'!A:B,2,0),"Unknown Customer")</f>
        <v>James Miller</v>
      </c>
      <c r="C42" s="32" t="str">
        <f>IFERROR(
IF(AmazonSales!E:E&lt;&gt;"","Cancelled",
IF(AmazonSales!C:C="","No Delivery Date",
IF(AmazonSales!C:C&lt;AmazonSales!B:B,"Check Dates",
IF(AmazonSales!C:C-AmazonSales!B:B&lt;=2,"Fast","Slow")
)
)
),
)</f>
        <v>Slow</v>
      </c>
    </row>
    <row r="43" spans="1:3" x14ac:dyDescent="0.35">
      <c r="A43" s="35" t="s">
        <v>97</v>
      </c>
      <c r="B43" s="32" t="str">
        <f>IFERROR(VLOOKUP(A43,'Customer Master'!A:B,2,0),"Unknown Customer")</f>
        <v>Liam Walker</v>
      </c>
      <c r="C43" s="32" t="str">
        <f>IFERROR(
IF(AmazonSales!E:E&lt;&gt;"","Cancelled",
IF(AmazonSales!C:C="","No Delivery Date",
IF(AmazonSales!C:C&lt;AmazonSales!B:B,"Check Dates",
IF(AmazonSales!C:C-AmazonSales!B:B&lt;=2,"Fast","Slow")
)
)
),
)</f>
        <v>Fast</v>
      </c>
    </row>
    <row r="44" spans="1:3" x14ac:dyDescent="0.35">
      <c r="A44" s="35" t="s">
        <v>89</v>
      </c>
      <c r="B44" s="32" t="str">
        <f>IFERROR(VLOOKUP(A44,'Customer Master'!A:B,2,0),"Unknown Customer")</f>
        <v>Benjamin Clark</v>
      </c>
      <c r="C44" s="32" t="str">
        <f>IFERROR(
IF(AmazonSales!E:E&lt;&gt;"","Cancelled",
IF(AmazonSales!C:C="","No Delivery Date",
IF(AmazonSales!C:C&lt;AmazonSales!B:B,"Check Dates",
IF(AmazonSales!C:C-AmazonSales!B:B&lt;=2,"Fast","Slow")
)
)
),
)</f>
        <v>Cancelled</v>
      </c>
    </row>
    <row r="45" spans="1:3" x14ac:dyDescent="0.35">
      <c r="A45" s="35" t="s">
        <v>118</v>
      </c>
      <c r="B45" s="32" t="str">
        <f>IFERROR(VLOOKUP(A45,'Customer Master'!A:B,2,0),"Unknown Customer")</f>
        <v>Ava Robinson</v>
      </c>
      <c r="C45" s="32" t="str">
        <f>IFERROR(
IF(AmazonSales!E:E&lt;&gt;"","Cancelled",
IF(AmazonSales!C:C="","No Delivery Date",
IF(AmazonSales!C:C&lt;AmazonSales!B:B,"Check Dates",
IF(AmazonSales!C:C-AmazonSales!B:B&lt;=2,"Fast","Slow")
)
)
),
)</f>
        <v>Cancelled</v>
      </c>
    </row>
    <row r="46" spans="1:3" x14ac:dyDescent="0.35">
      <c r="A46" s="35" t="s">
        <v>43</v>
      </c>
      <c r="B46" s="32" t="str">
        <f>IFERROR(VLOOKUP(A46,'Customer Master'!A:B,2,0),"Unknown Customer")</f>
        <v>Noah Wilson</v>
      </c>
      <c r="C46" s="32" t="str">
        <f>IFERROR(
IF(AmazonSales!E:E&lt;&gt;"","Cancelled",
IF(AmazonSales!C:C="","No Delivery Date",
IF(AmazonSales!C:C&lt;AmazonSales!B:B,"Check Dates",
IF(AmazonSales!C:C-AmazonSales!B:B&lt;=2,"Fast","Slow")
)
)
),
)</f>
        <v>Cancelled</v>
      </c>
    </row>
    <row r="47" spans="1:3" x14ac:dyDescent="0.35">
      <c r="A47" s="35" t="s">
        <v>127</v>
      </c>
      <c r="B47" s="32" t="str">
        <f>IFERROR(VLOOKUP(A47,'Customer Master'!A:B,2,0),"Unknown Customer")</f>
        <v>Logan Ramirez</v>
      </c>
      <c r="C47" s="32" t="str">
        <f>IFERROR(
IF(AmazonSales!E:E&lt;&gt;"","Cancelled",
IF(AmazonSales!C:C="","No Delivery Date",
IF(AmazonSales!C:C&lt;AmazonSales!B:B,"Check Dates",
IF(AmazonSales!C:C-AmazonSales!B:B&lt;=2,"Fast","Slow")
)
)
),
)</f>
        <v>Slow</v>
      </c>
    </row>
    <row r="48" spans="1:3" x14ac:dyDescent="0.35">
      <c r="A48" s="35" t="s">
        <v>78</v>
      </c>
      <c r="B48" s="32" t="str">
        <f>IFERROR(VLOOKUP(A48,'Customer Master'!A:B,2,0),"Unknown Customer")</f>
        <v>Jacob Price</v>
      </c>
      <c r="C48" s="32" t="str">
        <f>IFERROR(
IF(AmazonSales!E:E&lt;&gt;"","Cancelled",
IF(AmazonSales!C:C="","No Delivery Date",
IF(AmazonSales!C:C&lt;AmazonSales!B:B,"Check Dates",
IF(AmazonSales!C:C-AmazonSales!B:B&lt;=2,"Fast","Slow")
)
)
),
)</f>
        <v>Fast</v>
      </c>
    </row>
    <row r="49" spans="1:3" x14ac:dyDescent="0.35">
      <c r="A49" s="35" t="s">
        <v>32</v>
      </c>
      <c r="B49" s="32" t="str">
        <f>IFERROR(VLOOKUP(A49,'Customer Master'!A:B,2,0),"Unknown Customer")</f>
        <v>Grace Ward</v>
      </c>
      <c r="C49" s="32" t="str">
        <f>IFERROR(
IF(AmazonSales!E:E&lt;&gt;"","Cancelled",
IF(AmazonSales!C:C="","No Delivery Date",
IF(AmazonSales!C:C&lt;AmazonSales!B:B,"Check Dates",
IF(AmazonSales!C:C-AmazonSales!B:B&lt;=2,"Fast","Slow")
)
)
),
)</f>
        <v>Slow</v>
      </c>
    </row>
    <row r="50" spans="1:3" x14ac:dyDescent="0.35">
      <c r="A50" s="35" t="s">
        <v>131</v>
      </c>
      <c r="B50" s="32" t="str">
        <f>IFERROR(VLOOKUP(A50,'Customer Master'!A:B,2,0),"Unknown Customer")</f>
        <v>Zoe Mitchell</v>
      </c>
      <c r="C50" s="32" t="str">
        <f>IFERROR(
IF(AmazonSales!E:E&lt;&gt;"","Cancelled",
IF(AmazonSales!C:C="","No Delivery Date",
IF(AmazonSales!C:C&lt;AmazonSales!B:B,"Check Dates",
IF(AmazonSales!C:C-AmazonSales!B:B&lt;=2,"Fast","Slow")
)
)
),
)</f>
        <v>No Delivery Date</v>
      </c>
    </row>
    <row r="51" spans="1:3" x14ac:dyDescent="0.35">
      <c r="A51" s="35" t="s">
        <v>89</v>
      </c>
      <c r="B51" s="32" t="str">
        <f>IFERROR(VLOOKUP(A51,'Customer Master'!A:B,2,0),"Unknown Customer")</f>
        <v>Benjamin Clark</v>
      </c>
      <c r="C51" s="32" t="str">
        <f>IFERROR(
IF(AmazonSales!E:E&lt;&gt;"","Cancelled",
IF(AmazonSales!C:C="","No Delivery Date",
IF(AmazonSales!C:C&lt;AmazonSales!B:B,"Check Dates",
IF(AmazonSales!C:C-AmazonSales!B:B&lt;=2,"Fast","Slow")
)
)
),
)</f>
        <v>Slow</v>
      </c>
    </row>
    <row r="52" spans="1:3" x14ac:dyDescent="0.35">
      <c r="A52" s="35" t="s">
        <v>78</v>
      </c>
      <c r="B52" s="32" t="str">
        <f>IFERROR(VLOOKUP(A52,'Customer Master'!A:B,2,0),"Unknown Customer")</f>
        <v>Jacob Price</v>
      </c>
      <c r="C52" s="32" t="str">
        <f>IFERROR(
IF(AmazonSales!E:E&lt;&gt;"","Cancelled",
IF(AmazonSales!C:C="","No Delivery Date",
IF(AmazonSales!C:C&lt;AmazonSales!B:B,"Check Dates",
IF(AmazonSales!C:C-AmazonSales!B:B&lt;=2,"Fast","Slow")
)
)
),
)</f>
        <v>No Delivery Date</v>
      </c>
    </row>
    <row r="53" spans="1:3" x14ac:dyDescent="0.35">
      <c r="A53" s="35" t="s">
        <v>99</v>
      </c>
      <c r="B53" s="32" t="str">
        <f>IFERROR(VLOOKUP(A53,'Customer Master'!A:B,2,0),"Unknown Customer")</f>
        <v>Harper Young</v>
      </c>
      <c r="C53" s="32" t="str">
        <f>IFERROR(
IF(AmazonSales!E:E&lt;&gt;"","Cancelled",
IF(AmazonSales!C:C="","No Delivery Date",
IF(AmazonSales!C:C&lt;AmazonSales!B:B,"Check Dates",
IF(AmazonSales!C:C-AmazonSales!B:B&lt;=2,"Fast","Slow")
)
)
),
)</f>
        <v>Fast</v>
      </c>
    </row>
    <row r="54" spans="1:3" x14ac:dyDescent="0.35">
      <c r="A54" s="35" t="s">
        <v>75</v>
      </c>
      <c r="B54" s="32" t="str">
        <f>IFERROR(VLOOKUP(A54,'Customer Master'!A:B,2,0),"Unknown Customer")</f>
        <v>Mason Hall</v>
      </c>
      <c r="C54" s="32" t="str">
        <f>IFERROR(
IF(AmazonSales!E:E&lt;&gt;"","Cancelled",
IF(AmazonSales!C:C="","No Delivery Date",
IF(AmazonSales!C:C&lt;AmazonSales!B:B,"Check Dates",
IF(AmazonSales!C:C-AmazonSales!B:B&lt;=2,"Fast","Slow")
)
)
),
)</f>
        <v>Slow</v>
      </c>
    </row>
    <row r="55" spans="1:3" x14ac:dyDescent="0.35">
      <c r="A55" s="35" t="s">
        <v>94</v>
      </c>
      <c r="B55" s="32" t="str">
        <f>IFERROR(VLOOKUP(A55,'Customer Master'!A:B,2,0),"Unknown Customer")</f>
        <v>Grace Scott</v>
      </c>
      <c r="C55" s="32" t="str">
        <f>IFERROR(
IF(AmazonSales!E:E&lt;&gt;"","Cancelled",
IF(AmazonSales!C:C="","No Delivery Date",
IF(AmazonSales!C:C&lt;AmazonSales!B:B,"Check Dates",
IF(AmazonSales!C:C-AmazonSales!B:B&lt;=2,"Fast","Slow")
)
)
),
)</f>
        <v>Cancelled</v>
      </c>
    </row>
    <row r="56" spans="1:3" x14ac:dyDescent="0.35">
      <c r="A56" s="35" t="s">
        <v>103</v>
      </c>
      <c r="B56" s="32" t="str">
        <f>IFERROR(VLOOKUP(A56,'Customer Master'!A:B,2,0),"Unknown Customer")</f>
        <v>Emily Johnson</v>
      </c>
      <c r="C56" s="32" t="str">
        <f>IFERROR(
IF(AmazonSales!E:E&lt;&gt;"","Cancelled",
IF(AmazonSales!C:C="","No Delivery Date",
IF(AmazonSales!C:C&lt;AmazonSales!B:B,"Check Dates",
IF(AmazonSales!C:C-AmazonSales!B:B&lt;=2,"Fast","Slow")
)
)
),
)</f>
        <v>Slow</v>
      </c>
    </row>
    <row r="57" spans="1:3" x14ac:dyDescent="0.35">
      <c r="A57" s="35" t="s">
        <v>139</v>
      </c>
      <c r="B57" s="32" t="str">
        <f>IFERROR(VLOOKUP(A57,'Customer Master'!A:B,2,0),"Unknown Customer")</f>
        <v>Emma King</v>
      </c>
      <c r="C57" s="32" t="str">
        <f>IFERROR(
IF(AmazonSales!E:E&lt;&gt;"","Cancelled",
IF(AmazonSales!C:C="","No Delivery Date",
IF(AmazonSales!C:C&lt;AmazonSales!B:B,"Check Dates",
IF(AmazonSales!C:C-AmazonSales!B:B&lt;=2,"Fast","Slow")
)
)
),
)</f>
        <v>Slow</v>
      </c>
    </row>
    <row r="58" spans="1:3" x14ac:dyDescent="0.35">
      <c r="A58" s="35" t="s">
        <v>80</v>
      </c>
      <c r="B58" s="32" t="str">
        <f>IFERROR(VLOOKUP(A58,'Customer Master'!A:B,2,0),"Unknown Customer")</f>
        <v>Emma King</v>
      </c>
      <c r="C58" s="32" t="str">
        <f>IFERROR(
IF(AmazonSales!E:E&lt;&gt;"","Cancelled",
IF(AmazonSales!C:C="","No Delivery Date",
IF(AmazonSales!C:C&lt;AmazonSales!B:B,"Check Dates",
IF(AmazonSales!C:C-AmazonSales!B:B&lt;=2,"Fast","Slow")
)
)
),
)</f>
        <v>Fast</v>
      </c>
    </row>
    <row r="59" spans="1:3" x14ac:dyDescent="0.35">
      <c r="A59" s="35" t="s">
        <v>14</v>
      </c>
      <c r="B59" s="32" t="str">
        <f>IFERROR(VLOOKUP(A59,'Customer Master'!A:B,2,0),"Unknown Customer")</f>
        <v>Zoe Mitchell</v>
      </c>
      <c r="C59" s="32" t="str">
        <f>IFERROR(
IF(AmazonSales!E:E&lt;&gt;"","Cancelled",
IF(AmazonSales!C:C="","No Delivery Date",
IF(AmazonSales!C:C&lt;AmazonSales!B:B,"Check Dates",
IF(AmazonSales!C:C-AmazonSales!B:B&lt;=2,"Fast","Slow")
)
)
),
)</f>
        <v>No Delivery Date</v>
      </c>
    </row>
    <row r="60" spans="1:3" x14ac:dyDescent="0.35">
      <c r="A60" s="35" t="s">
        <v>143</v>
      </c>
      <c r="B60" s="32" t="str">
        <f>IFERROR(VLOOKUP(A60,'Customer Master'!A:B,2,0),"Unknown Customer")</f>
        <v>Ethan Davis</v>
      </c>
      <c r="C60" s="32" t="str">
        <f>IFERROR(
IF(AmazonSales!E:E&lt;&gt;"","Cancelled",
IF(AmazonSales!C:C="","No Delivery Date",
IF(AmazonSales!C:C&lt;AmazonSales!B:B,"Check Dates",
IF(AmazonSales!C:C-AmazonSales!B:B&lt;=2,"Fast","Slow")
)
)
),
)</f>
        <v>Cancelled</v>
      </c>
    </row>
    <row r="61" spans="1:3" x14ac:dyDescent="0.35">
      <c r="A61" s="35" t="s">
        <v>48</v>
      </c>
      <c r="B61" s="32" t="str">
        <f>IFERROR(VLOOKUP(A61,'Customer Master'!A:B,2,0),"Unknown Customer")</f>
        <v>Ava Robinson</v>
      </c>
      <c r="C61" s="32" t="str">
        <f>IFERROR(
IF(AmazonSales!E:E&lt;&gt;"","Cancelled",
IF(AmazonSales!C:C="","No Delivery Date",
IF(AmazonSales!C:C&lt;AmazonSales!B:B,"Check Dates",
IF(AmazonSales!C:C-AmazonSales!B:B&lt;=2,"Fast","Slow")
)
)
),
)</f>
        <v>Cancelled</v>
      </c>
    </row>
    <row r="62" spans="1:3" x14ac:dyDescent="0.35">
      <c r="A62" s="35" t="s">
        <v>146</v>
      </c>
      <c r="B62" s="32" t="str">
        <f>IFERROR(VLOOKUP(A62,'Customer Master'!A:B,2,0),"Unknown Customer")</f>
        <v>Scarlett Adams</v>
      </c>
      <c r="C62" s="32" t="str">
        <f>IFERROR(
IF(AmazonSales!E:E&lt;&gt;"","Cancelled",
IF(AmazonSales!C:C="","No Delivery Date",
IF(AmazonSales!C:C&lt;AmazonSales!B:B,"Check Dates",
IF(AmazonSales!C:C-AmazonSales!B:B&lt;=2,"Fast","Slow")
)
)
),
)</f>
        <v>No Delivery Date</v>
      </c>
    </row>
    <row r="63" spans="1:3" x14ac:dyDescent="0.35">
      <c r="A63" s="35" t="s">
        <v>148</v>
      </c>
      <c r="B63" s="32" t="str">
        <f>IFERROR(VLOOKUP(A63,'Customer Master'!A:B,2,0),"Unknown Customer")</f>
        <v>Elijah Lewis</v>
      </c>
      <c r="C63" s="32" t="str">
        <f>IFERROR(
IF(AmazonSales!E:E&lt;&gt;"","Cancelled",
IF(AmazonSales!C:C="","No Delivery Date",
IF(AmazonSales!C:C&lt;AmazonSales!B:B,"Check Dates",
IF(AmazonSales!C:C-AmazonSales!B:B&lt;=2,"Fast","Slow")
)
)
),
)</f>
        <v>Slow</v>
      </c>
    </row>
    <row r="64" spans="1:3" x14ac:dyDescent="0.35">
      <c r="A64" s="35" t="s">
        <v>150</v>
      </c>
      <c r="B64" s="32" t="str">
        <f>IFERROR(VLOOKUP(A64,'Customer Master'!A:B,2,0),"Unknown Customer")</f>
        <v>Noah Wilson</v>
      </c>
      <c r="C64" s="32" t="str">
        <f>IFERROR(
IF(AmazonSales!E:E&lt;&gt;"","Cancelled",
IF(AmazonSales!C:C="","No Delivery Date",
IF(AmazonSales!C:C&lt;AmazonSales!B:B,"Check Dates",
IF(AmazonSales!C:C-AmazonSales!B:B&lt;=2,"Fast","Slow")
)
)
),
)</f>
        <v>No Delivery Date</v>
      </c>
    </row>
    <row r="65" spans="1:3" x14ac:dyDescent="0.35">
      <c r="A65" s="35" t="s">
        <v>152</v>
      </c>
      <c r="B65" s="32" t="str">
        <f>IFERROR(VLOOKUP(A65,'Customer Master'!A:B,2,0),"Unknown Customer")</f>
        <v>Noah Wilson</v>
      </c>
      <c r="C65" s="32" t="str">
        <f>IFERROR(
IF(AmazonSales!E:E&lt;&gt;"","Cancelled",
IF(AmazonSales!C:C="","No Delivery Date",
IF(AmazonSales!C:C&lt;AmazonSales!B:B,"Check Dates",
IF(AmazonSales!C:C-AmazonSales!B:B&lt;=2,"Fast","Slow")
)
)
),
)</f>
        <v>Slow</v>
      </c>
    </row>
    <row r="66" spans="1:3" x14ac:dyDescent="0.35">
      <c r="A66" s="35" t="s">
        <v>40</v>
      </c>
      <c r="B66" s="32" t="str">
        <f>IFERROR(VLOOKUP(A66,'Customer Master'!A:B,2,0),"Unknown Customer")</f>
        <v>Jackson Allen</v>
      </c>
      <c r="C66" s="32" t="str">
        <f>IFERROR(
IF(AmazonSales!E:E&lt;&gt;"","Cancelled",
IF(AmazonSales!C:C="","No Delivery Date",
IF(AmazonSales!C:C&lt;AmazonSales!B:B,"Check Dates",
IF(AmazonSales!C:C-AmazonSales!B:B&lt;=2,"Fast","Slow")
)
)
),
)</f>
        <v>Cancelled</v>
      </c>
    </row>
    <row r="67" spans="1:3" x14ac:dyDescent="0.35">
      <c r="A67" s="35" t="s">
        <v>40</v>
      </c>
      <c r="B67" s="32" t="str">
        <f>IFERROR(VLOOKUP(A67,'Customer Master'!A:B,2,0),"Unknown Customer")</f>
        <v>Jackson Allen</v>
      </c>
      <c r="C67" s="32" t="str">
        <f>IFERROR(
IF(AmazonSales!E:E&lt;&gt;"","Cancelled",
IF(AmazonSales!C:C="","No Delivery Date",
IF(AmazonSales!C:C&lt;AmazonSales!B:B,"Check Dates",
IF(AmazonSales!C:C-AmazonSales!B:B&lt;=2,"Fast","Slow")
)
)
),
)</f>
        <v>Cancelled</v>
      </c>
    </row>
    <row r="68" spans="1:3" x14ac:dyDescent="0.35">
      <c r="A68" s="35" t="s">
        <v>156</v>
      </c>
      <c r="B68" s="32" t="str">
        <f>IFERROR(VLOOKUP(A68,'Customer Master'!A:B,2,0),"Unknown Customer")</f>
        <v>Unknown Customer</v>
      </c>
      <c r="C68" s="32" t="str">
        <f>IFERROR(
IF(AmazonSales!E:E&lt;&gt;"","Cancelled",
IF(AmazonSales!C:C="","No Delivery Date",
IF(AmazonSales!C:C&lt;AmazonSales!B:B,"Check Dates",
IF(AmazonSales!C:C-AmazonSales!B:B&lt;=2,"Fast","Slow")
)
)
),
)</f>
        <v>Fast</v>
      </c>
    </row>
    <row r="69" spans="1:3" x14ac:dyDescent="0.35">
      <c r="A69" s="35" t="s">
        <v>60</v>
      </c>
      <c r="B69" s="32" t="str">
        <f>IFERROR(VLOOKUP(A69,'Customer Master'!A:B,2,0),"Unknown Customer")</f>
        <v>Emily Johnson</v>
      </c>
      <c r="C69" s="32" t="str">
        <f>IFERROR(
IF(AmazonSales!E:E&lt;&gt;"","Cancelled",
IF(AmazonSales!C:C="","No Delivery Date",
IF(AmazonSales!C:C&lt;AmazonSales!B:B,"Check Dates",
IF(AmazonSales!C:C-AmazonSales!B:B&lt;=2,"Fast","Slow")
)
)
),
)</f>
        <v>No Delivery Date</v>
      </c>
    </row>
    <row r="70" spans="1:3" x14ac:dyDescent="0.35">
      <c r="A70" s="35" t="s">
        <v>32</v>
      </c>
      <c r="B70" s="32" t="str">
        <f>IFERROR(VLOOKUP(A70,'Customer Master'!A:B,2,0),"Unknown Customer")</f>
        <v>Grace Ward</v>
      </c>
      <c r="C70" s="32" t="str">
        <f>IFERROR(
IF(AmazonSales!E:E&lt;&gt;"","Cancelled",
IF(AmazonSales!C:C="","No Delivery Date",
IF(AmazonSales!C:C&lt;AmazonSales!B:B,"Check Dates",
IF(AmazonSales!C:C-AmazonSales!B:B&lt;=2,"Fast","Slow")
)
)
),
)</f>
        <v>Cancelled</v>
      </c>
    </row>
    <row r="71" spans="1:3" x14ac:dyDescent="0.35">
      <c r="A71" s="35" t="s">
        <v>40</v>
      </c>
      <c r="B71" s="32" t="str">
        <f>IFERROR(VLOOKUP(A71,'Customer Master'!A:B,2,0),"Unknown Customer")</f>
        <v>Jackson Allen</v>
      </c>
      <c r="C71" s="32" t="str">
        <f>IFERROR(
IF(AmazonSales!E:E&lt;&gt;"","Cancelled",
IF(AmazonSales!C:C="","No Delivery Date",
IF(AmazonSales!C:C&lt;AmazonSales!B:B,"Check Dates",
IF(AmazonSales!C:C-AmazonSales!B:B&lt;=2,"Fast","Slow")
)
)
),
)</f>
        <v>Cancelled</v>
      </c>
    </row>
    <row r="72" spans="1:3" x14ac:dyDescent="0.35">
      <c r="A72" s="35" t="s">
        <v>118</v>
      </c>
      <c r="B72" s="32" t="str">
        <f>IFERROR(VLOOKUP(A72,'Customer Master'!A:B,2,0),"Unknown Customer")</f>
        <v>Ava Robinson</v>
      </c>
      <c r="C72" s="32" t="str">
        <f>IFERROR(
IF(AmazonSales!E:E&lt;&gt;"","Cancelled",
IF(AmazonSales!C:C="","No Delivery Date",
IF(AmazonSales!C:C&lt;AmazonSales!B:B,"Check Dates",
IF(AmazonSales!C:C-AmazonSales!B:B&lt;=2,"Fast","Slow")
)
)
),
)</f>
        <v>Slow</v>
      </c>
    </row>
    <row r="73" spans="1:3" x14ac:dyDescent="0.35">
      <c r="A73" s="35" t="s">
        <v>148</v>
      </c>
      <c r="B73" s="32" t="str">
        <f>IFERROR(VLOOKUP(A73,'Customer Master'!A:B,2,0),"Unknown Customer")</f>
        <v>Elijah Lewis</v>
      </c>
      <c r="C73" s="32" t="str">
        <f>IFERROR(
IF(AmazonSales!E:E&lt;&gt;"","Cancelled",
IF(AmazonSales!C:C="","No Delivery Date",
IF(AmazonSales!C:C&lt;AmazonSales!B:B,"Check Dates",
IF(AmazonSales!C:C-AmazonSales!B:B&lt;=2,"Fast","Slow")
)
)
),
)</f>
        <v>No Delivery Date</v>
      </c>
    </row>
    <row r="74" spans="1:3" x14ac:dyDescent="0.35">
      <c r="A74" s="35" t="s">
        <v>87</v>
      </c>
      <c r="B74" s="32" t="str">
        <f>IFERROR(VLOOKUP(A74,'Customer Master'!A:B,2,0),"Unknown Customer")</f>
        <v>Lily Bennett</v>
      </c>
      <c r="C74" s="32" t="str">
        <f>IFERROR(
IF(AmazonSales!E:E&lt;&gt;"","Cancelled",
IF(AmazonSales!C:C="","No Delivery Date",
IF(AmazonSales!C:C&lt;AmazonSales!B:B,"Check Dates",
IF(AmazonSales!C:C-AmazonSales!B:B&lt;=2,"Fast","Slow")
)
)
),
)</f>
        <v>Cancelled</v>
      </c>
    </row>
    <row r="75" spans="1:3" x14ac:dyDescent="0.35">
      <c r="A75" s="35" t="s">
        <v>85</v>
      </c>
      <c r="B75" s="32" t="str">
        <f>IFERROR(VLOOKUP(A75,'Customer Master'!A:B,2,0),"Unknown Customer")</f>
        <v>Elijah Lewis</v>
      </c>
      <c r="C75" s="32" t="str">
        <f>IFERROR(
IF(AmazonSales!E:E&lt;&gt;"","Cancelled",
IF(AmazonSales!C:C="","No Delivery Date",
IF(AmazonSales!C:C&lt;AmazonSales!B:B,"Check Dates",
IF(AmazonSales!C:C-AmazonSales!B:B&lt;=2,"Fast","Slow")
)
)
),
)</f>
        <v>Slow</v>
      </c>
    </row>
    <row r="76" spans="1:3" x14ac:dyDescent="0.35">
      <c r="A76" s="35" t="s">
        <v>43</v>
      </c>
      <c r="B76" s="32" t="str">
        <f>IFERROR(VLOOKUP(A76,'Customer Master'!A:B,2,0),"Unknown Customer")</f>
        <v>Noah Wilson</v>
      </c>
      <c r="C76" s="32" t="str">
        <f>IFERROR(
IF(AmazonSales!E:E&lt;&gt;"","Cancelled",
IF(AmazonSales!C:C="","No Delivery Date",
IF(AmazonSales!C:C&lt;AmazonSales!B:B,"Check Dates",
IF(AmazonSales!C:C-AmazonSales!B:B&lt;=2,"Fast","Slow")
)
)
),
)</f>
        <v>No Delivery Date</v>
      </c>
    </row>
    <row r="77" spans="1:3" x14ac:dyDescent="0.35">
      <c r="A77" s="35" t="s">
        <v>63</v>
      </c>
      <c r="B77" s="32" t="str">
        <f>IFERROR(VLOOKUP(A77,'Customer Master'!A:B,2,0),"Unknown Customer")</f>
        <v>Charlotte Reed</v>
      </c>
      <c r="C77" s="32" t="str">
        <f>IFERROR(
IF(AmazonSales!E:E&lt;&gt;"","Cancelled",
IF(AmazonSales!C:C="","No Delivery Date",
IF(AmazonSales!C:C&lt;AmazonSales!B:B,"Check Dates",
IF(AmazonSales!C:C-AmazonSales!B:B&lt;=2,"Fast","Slow")
)
)
),
)</f>
        <v>Slow</v>
      </c>
    </row>
    <row r="78" spans="1:3" x14ac:dyDescent="0.35">
      <c r="A78" s="35" t="s">
        <v>150</v>
      </c>
      <c r="B78" s="32" t="str">
        <f>IFERROR(VLOOKUP(A78,'Customer Master'!A:B,2,0),"Unknown Customer")</f>
        <v>Noah Wilson</v>
      </c>
      <c r="C78" s="32" t="str">
        <f>IFERROR(
IF(AmazonSales!E:E&lt;&gt;"","Cancelled",
IF(AmazonSales!C:C="","No Delivery Date",
IF(AmazonSales!C:C&lt;AmazonSales!B:B,"Check Dates",
IF(AmazonSales!C:C-AmazonSales!B:B&lt;=2,"Fast","Slow")
)
)
),
)</f>
        <v>Fast</v>
      </c>
    </row>
    <row r="79" spans="1:3" x14ac:dyDescent="0.35">
      <c r="A79" s="35" t="s">
        <v>152</v>
      </c>
      <c r="B79" s="32" t="str">
        <f>IFERROR(VLOOKUP(A79,'Customer Master'!A:B,2,0),"Unknown Customer")</f>
        <v>Noah Wilson</v>
      </c>
      <c r="C79" s="32" t="str">
        <f>IFERROR(
IF(AmazonSales!E:E&lt;&gt;"","Cancelled",
IF(AmazonSales!C:C="","No Delivery Date",
IF(AmazonSales!C:C&lt;AmazonSales!B:B,"Check Dates",
IF(AmazonSales!C:C-AmazonSales!B:B&lt;=2,"Fast","Slow")
)
)
),
)</f>
        <v>Cancelled</v>
      </c>
    </row>
    <row r="80" spans="1:3" x14ac:dyDescent="0.35">
      <c r="A80" s="35" t="s">
        <v>152</v>
      </c>
      <c r="B80" s="32" t="str">
        <f>IFERROR(VLOOKUP(A80,'Customer Master'!A:B,2,0),"Unknown Customer")</f>
        <v>Noah Wilson</v>
      </c>
      <c r="C80" s="32" t="str">
        <f>IFERROR(
IF(AmazonSales!E:E&lt;&gt;"","Cancelled",
IF(AmazonSales!C:C="","No Delivery Date",
IF(AmazonSales!C:C&lt;AmazonSales!B:B,"Check Dates",
IF(AmazonSales!C:C-AmazonSales!B:B&lt;=2,"Fast","Slow")
)
)
),
)</f>
        <v>No Delivery Date</v>
      </c>
    </row>
    <row r="81" spans="1:3" x14ac:dyDescent="0.35">
      <c r="A81" s="35" t="s">
        <v>108</v>
      </c>
      <c r="B81" s="32" t="str">
        <f>IFERROR(VLOOKUP(A81,'Customer Master'!A:B,2,0),"Unknown Customer")</f>
        <v>Luke Gray</v>
      </c>
      <c r="C81" s="32" t="str">
        <f>IFERROR(
IF(AmazonSales!E:E&lt;&gt;"","Cancelled",
IF(AmazonSales!C:C="","No Delivery Date",
IF(AmazonSales!C:C&lt;AmazonSales!B:B,"Check Dates",
IF(AmazonSales!C:C-AmazonSales!B:B&lt;=2,"Fast","Slow")
)
)
),
)</f>
        <v>Slow</v>
      </c>
    </row>
    <row r="82" spans="1:3" x14ac:dyDescent="0.35">
      <c r="A82" s="35" t="s">
        <v>121</v>
      </c>
      <c r="B82" s="32" t="str">
        <f>IFERROR(VLOOKUP(A82,'Customer Master'!A:B,2,0),"Unknown Customer")</f>
        <v>James Miller</v>
      </c>
      <c r="C82" s="32" t="str">
        <f>IFERROR(
IF(AmazonSales!E:E&lt;&gt;"","Cancelled",
IF(AmazonSales!C:C="","No Delivery Date",
IF(AmazonSales!C:C&lt;AmazonSales!B:B,"Check Dates",
IF(AmazonSales!C:C-AmazonSales!B:B&lt;=2,"Fast","Slow")
)
)
),
)</f>
        <v>No Delivery Date</v>
      </c>
    </row>
    <row r="83" spans="1:3" x14ac:dyDescent="0.35">
      <c r="A83" s="35" t="s">
        <v>57</v>
      </c>
      <c r="B83" s="32" t="str">
        <f>IFERROR(VLOOKUP(A83,'Customer Master'!A:B,2,0),"Unknown Customer")</f>
        <v>Emily Johnson</v>
      </c>
      <c r="C83" s="32" t="str">
        <f>IFERROR(
IF(AmazonSales!E:E&lt;&gt;"","Cancelled",
IF(AmazonSales!C:C="","No Delivery Date",
IF(AmazonSales!C:C&lt;AmazonSales!B:B,"Check Dates",
IF(AmazonSales!C:C-AmazonSales!B:B&lt;=2,"Fast","Slow")
)
)
),
)</f>
        <v>Cancelled</v>
      </c>
    </row>
    <row r="84" spans="1:3" x14ac:dyDescent="0.35">
      <c r="A84" s="35" t="s">
        <v>14</v>
      </c>
      <c r="B84" s="32" t="str">
        <f>IFERROR(VLOOKUP(A84,'Customer Master'!A:B,2,0),"Unknown Customer")</f>
        <v>Zoe Mitchell</v>
      </c>
      <c r="C84" s="32" t="str">
        <f>IFERROR(
IF(AmazonSales!E:E&lt;&gt;"","Cancelled",
IF(AmazonSales!C:C="","No Delivery Date",
IF(AmazonSales!C:C&lt;AmazonSales!B:B,"Check Dates",
IF(AmazonSales!C:C-AmazonSales!B:B&lt;=2,"Fast","Slow")
)
)
),
)</f>
        <v>Fast</v>
      </c>
    </row>
    <row r="85" spans="1:3" x14ac:dyDescent="0.35">
      <c r="A85" s="35" t="s">
        <v>174</v>
      </c>
      <c r="B85" s="32" t="str">
        <f>IFERROR(VLOOKUP(A85,'Customer Master'!A:B,2,0),"Unknown Customer")</f>
        <v>Ava White</v>
      </c>
      <c r="C85" s="32" t="str">
        <f>IFERROR(
IF(AmazonSales!E:E&lt;&gt;"","Cancelled",
IF(AmazonSales!C:C="","No Delivery Date",
IF(AmazonSales!C:C&lt;AmazonSales!B:B,"Check Dates",
IF(AmazonSales!C:C-AmazonSales!B:B&lt;=2,"Fast","Slow")
)
)
),
)</f>
        <v>No Delivery Date</v>
      </c>
    </row>
    <row r="86" spans="1:3" x14ac:dyDescent="0.35">
      <c r="A86" s="35" t="s">
        <v>60</v>
      </c>
      <c r="B86" s="32" t="str">
        <f>IFERROR(VLOOKUP(A86,'Customer Master'!A:B,2,0),"Unknown Customer")</f>
        <v>Emily Johnson</v>
      </c>
      <c r="C86" s="32" t="str">
        <f>IFERROR(
IF(AmazonSales!E:E&lt;&gt;"","Cancelled",
IF(AmazonSales!C:C="","No Delivery Date",
IF(AmazonSales!C:C&lt;AmazonSales!B:B,"Check Dates",
IF(AmazonSales!C:C-AmazonSales!B:B&lt;=2,"Fast","Slow")
)
)
),
)</f>
        <v>No Delivery Date</v>
      </c>
    </row>
    <row r="87" spans="1:3" x14ac:dyDescent="0.35">
      <c r="A87" s="35" t="s">
        <v>97</v>
      </c>
      <c r="B87" s="32" t="str">
        <f>IFERROR(VLOOKUP(A87,'Customer Master'!A:B,2,0),"Unknown Customer")</f>
        <v>Liam Walker</v>
      </c>
      <c r="C87" s="32" t="str">
        <f>IFERROR(
IF(AmazonSales!E:E&lt;&gt;"","Cancelled",
IF(AmazonSales!C:C="","No Delivery Date",
IF(AmazonSales!C:C&lt;AmazonSales!B:B,"Check Dates",
IF(AmazonSales!C:C-AmazonSales!B:B&lt;=2,"Fast","Slow")
)
)
),
)</f>
        <v>No Delivery Date</v>
      </c>
    </row>
    <row r="88" spans="1:3" x14ac:dyDescent="0.35">
      <c r="A88" s="35" t="s">
        <v>178</v>
      </c>
      <c r="B88" s="32" t="str">
        <f>IFERROR(VLOOKUP(A88,'Customer Master'!A:B,2,0),"Unknown Customer")</f>
        <v>Lily Reed</v>
      </c>
      <c r="C88" s="32" t="str">
        <f>IFERROR(
IF(AmazonSales!E:E&lt;&gt;"","Cancelled",
IF(AmazonSales!C:C="","No Delivery Date",
IF(AmazonSales!C:C&lt;AmazonSales!B:B,"Check Dates",
IF(AmazonSales!C:C-AmazonSales!B:B&lt;=2,"Fast","Slow")
)
)
),
)</f>
        <v>No Delivery Date</v>
      </c>
    </row>
    <row r="89" spans="1:3" x14ac:dyDescent="0.35">
      <c r="A89" s="35" t="s">
        <v>97</v>
      </c>
      <c r="B89" s="32" t="str">
        <f>IFERROR(VLOOKUP(A89,'Customer Master'!A:B,2,0),"Unknown Customer")</f>
        <v>Liam Walker</v>
      </c>
      <c r="C89" s="32" t="str">
        <f>IFERROR(
IF(AmazonSales!E:E&lt;&gt;"","Cancelled",
IF(AmazonSales!C:C="","No Delivery Date",
IF(AmazonSales!C:C&lt;AmazonSales!B:B,"Check Dates",
IF(AmazonSales!C:C-AmazonSales!B:B&lt;=2,"Fast","Slow")
)
)
),
)</f>
        <v>No Delivery Date</v>
      </c>
    </row>
    <row r="90" spans="1:3" x14ac:dyDescent="0.35">
      <c r="A90" s="35" t="s">
        <v>97</v>
      </c>
      <c r="B90" s="32" t="str">
        <f>IFERROR(VLOOKUP(A90,'Customer Master'!A:B,2,0),"Unknown Customer")</f>
        <v>Liam Walker</v>
      </c>
      <c r="C90" s="32" t="str">
        <f>IFERROR(
IF(AmazonSales!E:E&lt;&gt;"","Cancelled",
IF(AmazonSales!C:C="","No Delivery Date",
IF(AmazonSales!C:C&lt;AmazonSales!B:B,"Check Dates",
IF(AmazonSales!C:C-AmazonSales!B:B&lt;=2,"Fast","Slow")
)
)
),
)</f>
        <v>No Delivery Date</v>
      </c>
    </row>
    <row r="91" spans="1:3" x14ac:dyDescent="0.35">
      <c r="A91" s="35" t="s">
        <v>97</v>
      </c>
      <c r="B91" s="32" t="str">
        <f>IFERROR(VLOOKUP(A91,'Customer Master'!A:B,2,0),"Unknown Customer")</f>
        <v>Liam Walker</v>
      </c>
      <c r="C91" s="32" t="str">
        <f>IFERROR(
IF(AmazonSales!E:E&lt;&gt;"","Cancelled",
IF(AmazonSales!C:C="","No Delivery Date",
IF(AmazonSales!C:C&lt;AmazonSales!B:B,"Check Dates",
IF(AmazonSales!C:C-AmazonSales!B:B&lt;=2,"Fast","Slow")
)
)
),
)</f>
        <v>No Delivery Date</v>
      </c>
    </row>
    <row r="92" spans="1:3" x14ac:dyDescent="0.35">
      <c r="A92" s="35" t="s">
        <v>183</v>
      </c>
      <c r="B92" s="32" t="str">
        <f>IFERROR(VLOOKUP(A92,'Customer Master'!A:B,2,0),"Unknown Customer")</f>
        <v>Mason Collins</v>
      </c>
      <c r="C92" s="32" t="str">
        <f>IFERROR(
IF(AmazonSales!E:E&lt;&gt;"","Cancelled",
IF(AmazonSales!C:C="","No Delivery Date",
IF(AmazonSales!C:C&lt;AmazonSales!B:B,"Check Dates",
IF(AmazonSales!C:C-AmazonSales!B:B&lt;=2,"Fast","Slow")
)
)
),
)</f>
        <v>Slow</v>
      </c>
    </row>
    <row r="93" spans="1:3" x14ac:dyDescent="0.35">
      <c r="A93" s="35" t="s">
        <v>52</v>
      </c>
      <c r="B93" s="32" t="str">
        <f>IFERROR(VLOOKUP(A93,'Customer Master'!A:B,2,0),"Unknown Customer")</f>
        <v>Olivia Martinez</v>
      </c>
      <c r="C93" s="32" t="str">
        <f>IFERROR(
IF(AmazonSales!E:E&lt;&gt;"","Cancelled",
IF(AmazonSales!C:C="","No Delivery Date",
IF(AmazonSales!C:C&lt;AmazonSales!B:B,"Check Dates",
IF(AmazonSales!C:C-AmazonSales!B:B&lt;=2,"Fast","Slow")
)
)
),
)</f>
        <v>Cancelled</v>
      </c>
    </row>
    <row r="94" spans="1:3" x14ac:dyDescent="0.35">
      <c r="A94" s="35" t="s">
        <v>186</v>
      </c>
      <c r="B94" s="32" t="str">
        <f>IFERROR(VLOOKUP(A94,'Customer Master'!A:B,2,0),"Unknown Customer")</f>
        <v>Ethan Davis</v>
      </c>
      <c r="C94" s="32" t="str">
        <f>IFERROR(
IF(AmazonSales!E:E&lt;&gt;"","Cancelled",
IF(AmazonSales!C:C="","No Delivery Date",
IF(AmazonSales!C:C&lt;AmazonSales!B:B,"Check Dates",
IF(AmazonSales!C:C-AmazonSales!B:B&lt;=2,"Fast","Slow")
)
)
),
)</f>
        <v>Fast</v>
      </c>
    </row>
    <row r="95" spans="1:3" x14ac:dyDescent="0.35">
      <c r="A95" s="35" t="s">
        <v>52</v>
      </c>
      <c r="B95" s="32" t="str">
        <f>IFERROR(VLOOKUP(A95,'Customer Master'!A:B,2,0),"Unknown Customer")</f>
        <v>Olivia Martinez</v>
      </c>
      <c r="C95" s="32" t="str">
        <f>IFERROR(
IF(AmazonSales!E:E&lt;&gt;"","Cancelled",
IF(AmazonSales!C:C="","No Delivery Date",
IF(AmazonSales!C:C&lt;AmazonSales!B:B,"Check Dates",
IF(AmazonSales!C:C-AmazonSales!B:B&lt;=2,"Fast","Slow")
)
)
),
)</f>
        <v>Cancelled</v>
      </c>
    </row>
    <row r="96" spans="1:3" x14ac:dyDescent="0.35">
      <c r="A96" s="35" t="s">
        <v>178</v>
      </c>
      <c r="B96" s="32" t="str">
        <f>IFERROR(VLOOKUP(A96,'Customer Master'!A:B,2,0),"Unknown Customer")</f>
        <v>Lily Reed</v>
      </c>
      <c r="C96" s="32" t="str">
        <f>IFERROR(
IF(AmazonSales!E:E&lt;&gt;"","Cancelled",
IF(AmazonSales!C:C="","No Delivery Date",
IF(AmazonSales!C:C&lt;AmazonSales!B:B,"Check Dates",
IF(AmazonSales!C:C-AmazonSales!B:B&lt;=2,"Fast","Slow")
)
)
),
)</f>
        <v>Cancelled</v>
      </c>
    </row>
    <row r="97" spans="1:3" x14ac:dyDescent="0.35">
      <c r="A97" s="35" t="s">
        <v>139</v>
      </c>
      <c r="B97" s="32" t="str">
        <f>IFERROR(VLOOKUP(A97,'Customer Master'!A:B,2,0),"Unknown Customer")</f>
        <v>Emma King</v>
      </c>
      <c r="C97" s="32" t="str">
        <f>IFERROR(
IF(AmazonSales!E:E&lt;&gt;"","Cancelled",
IF(AmazonSales!C:C="","No Delivery Date",
IF(AmazonSales!C:C&lt;AmazonSales!B:B,"Check Dates",
IF(AmazonSales!C:C-AmazonSales!B:B&lt;=2,"Fast","Slow")
)
)
),
)</f>
        <v>Slow</v>
      </c>
    </row>
    <row r="98" spans="1:3" x14ac:dyDescent="0.35">
      <c r="A98" s="35" t="s">
        <v>63</v>
      </c>
      <c r="B98" s="32" t="str">
        <f>IFERROR(VLOOKUP(A98,'Customer Master'!A:B,2,0),"Unknown Customer")</f>
        <v>Charlotte Reed</v>
      </c>
      <c r="C98" s="32" t="str">
        <f>IFERROR(
IF(AmazonSales!E:E&lt;&gt;"","Cancelled",
IF(AmazonSales!C:C="","No Delivery Date",
IF(AmazonSales!C:C&lt;AmazonSales!B:B,"Check Dates",
IF(AmazonSales!C:C-AmazonSales!B:B&lt;=2,"Fast","Slow")
)
)
),
)</f>
        <v>Slow</v>
      </c>
    </row>
    <row r="99" spans="1:3" x14ac:dyDescent="0.35">
      <c r="A99" s="35" t="s">
        <v>32</v>
      </c>
      <c r="B99" s="32" t="str">
        <f>IFERROR(VLOOKUP(A99,'Customer Master'!A:B,2,0),"Unknown Customer")</f>
        <v>Grace Ward</v>
      </c>
      <c r="C99" s="32" t="str">
        <f>IFERROR(
IF(AmazonSales!E:E&lt;&gt;"","Cancelled",
IF(AmazonSales!C:C="","No Delivery Date",
IF(AmazonSales!C:C&lt;AmazonSales!B:B,"Check Dates",
IF(AmazonSales!C:C-AmazonSales!B:B&lt;=2,"Fast","Slow")
)
)
),
)</f>
        <v>Slow</v>
      </c>
    </row>
    <row r="100" spans="1:3" x14ac:dyDescent="0.35">
      <c r="A100" s="35" t="s">
        <v>193</v>
      </c>
      <c r="B100" s="32" t="str">
        <f>IFERROR(VLOOKUP(A100,'Customer Master'!A:B,2,0),"Unknown Customer")</f>
        <v>Lily Simmons</v>
      </c>
      <c r="C100" s="32" t="str">
        <f>IFERROR(
IF(AmazonSales!E:E&lt;&gt;"","Cancelled",
IF(AmazonSales!C:C="","No Delivery Date",
IF(AmazonSales!C:C&lt;AmazonSales!B:B,"Check Dates",
IF(AmazonSales!C:C-AmazonSales!B:B&lt;=2,"Fast","Slow")
)
)
),
)</f>
        <v>Cancelled</v>
      </c>
    </row>
    <row r="101" spans="1:3" x14ac:dyDescent="0.35">
      <c r="A101" s="35" t="s">
        <v>40</v>
      </c>
      <c r="B101" s="32" t="str">
        <f>IFERROR(VLOOKUP(A101,'Customer Master'!A:B,2,0),"Unknown Customer")</f>
        <v>Jackson Allen</v>
      </c>
      <c r="C101" s="32" t="str">
        <f>IFERROR(
IF(AmazonSales!E:E&lt;&gt;"","Cancelled",
IF(AmazonSales!C:C="","No Delivery Date",
IF(AmazonSales!C:C&lt;AmazonSales!B:B,"Check Dates",
IF(AmazonSales!C:C-AmazonSales!B:B&lt;=2,"Fast","Slow")
)
)
),
)</f>
        <v>No Delivery Date</v>
      </c>
    </row>
    <row r="102" spans="1:3" x14ac:dyDescent="0.35">
      <c r="A10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6A08-E508-4827-8A7B-BCC5EC84821F}">
  <dimension ref="A1:Z1000"/>
  <sheetViews>
    <sheetView topLeftCell="D1" workbookViewId="0">
      <selection activeCell="Q2" sqref="Q2"/>
    </sheetView>
  </sheetViews>
  <sheetFormatPr defaultRowHeight="14.5" x14ac:dyDescent="0.35"/>
  <cols>
    <col min="1" max="1" width="12.36328125" style="4" bestFit="1" customWidth="1"/>
    <col min="2" max="2" width="14.81640625" bestFit="1" customWidth="1"/>
    <col min="3" max="3" width="13.36328125" bestFit="1" customWidth="1"/>
    <col min="4" max="4" width="13.90625" customWidth="1"/>
    <col min="5" max="5" width="12.36328125" style="4" bestFit="1" customWidth="1"/>
    <col min="6" max="6" width="9.7265625" bestFit="1" customWidth="1"/>
    <col min="7" max="7" width="12.6328125" bestFit="1" customWidth="1"/>
    <col min="8" max="8" width="21.26953125" bestFit="1" customWidth="1"/>
    <col min="9" max="9" width="15.26953125" bestFit="1" customWidth="1"/>
    <col min="10" max="10" width="10.7265625" bestFit="1" customWidth="1"/>
    <col min="11" max="11" width="8.7265625" bestFit="1" customWidth="1"/>
    <col min="12" max="12" width="10.7265625" bestFit="1" customWidth="1"/>
    <col min="13" max="13" width="18.90625" bestFit="1" customWidth="1"/>
    <col min="14" max="14" width="13.36328125" customWidth="1"/>
    <col min="15" max="15" width="22.08984375" bestFit="1" customWidth="1"/>
    <col min="16" max="16" width="13.36328125" customWidth="1"/>
    <col min="17" max="17" width="15.453125" bestFit="1" customWidth="1"/>
    <col min="18" max="18" width="13.36328125" customWidth="1"/>
    <col min="19" max="19" width="12.36328125" bestFit="1" customWidth="1"/>
    <col min="20" max="20" width="18.81640625" bestFit="1" customWidth="1"/>
    <col min="21" max="23" width="15.26953125" bestFit="1" customWidth="1"/>
    <col min="24" max="24" width="10.7265625" bestFit="1" customWidth="1"/>
    <col min="26" max="26" width="15.36328125" bestFit="1" customWidth="1"/>
  </cols>
  <sheetData>
    <row r="1" spans="1:26" x14ac:dyDescent="0.35">
      <c r="A1" s="9"/>
      <c r="B1" s="52" t="s">
        <v>320</v>
      </c>
      <c r="C1" s="38" t="s">
        <v>11</v>
      </c>
      <c r="D1" s="52" t="s">
        <v>6</v>
      </c>
      <c r="E1" s="53" t="s">
        <v>9</v>
      </c>
      <c r="F1" s="52" t="s">
        <v>5</v>
      </c>
      <c r="G1" s="12"/>
      <c r="H1" s="5" t="s">
        <v>321</v>
      </c>
      <c r="I1" s="5" t="s">
        <v>313</v>
      </c>
      <c r="M1" s="12" t="s">
        <v>319</v>
      </c>
      <c r="N1" s="7"/>
      <c r="O1" s="12" t="s">
        <v>341</v>
      </c>
      <c r="P1" s="7"/>
      <c r="Q1" s="7" t="s">
        <v>318</v>
      </c>
      <c r="R1" s="7"/>
      <c r="Z1" s="19"/>
    </row>
    <row r="2" spans="1:26" x14ac:dyDescent="0.35">
      <c r="A2" s="10"/>
      <c r="B2" s="35" t="str">
        <f>IFERROR(
IF(AmazonSales!E:E&lt;&gt;"","Cancelled",
IF(AmazonSales!C:C="","No Delivery Date",
IF(AmazonSales!C:C&lt;AmazonSales!B:B,"Check Dates",
IF(AmazonSales!C:C-AmazonSales!B:B&lt;=2,"Fast","Slow")
)
)
),
)</f>
        <v>Cancelled</v>
      </c>
      <c r="C2" s="35" t="s">
        <v>18</v>
      </c>
      <c r="D2" s="49" t="s">
        <v>28</v>
      </c>
      <c r="E2" s="36">
        <v>27</v>
      </c>
      <c r="F2" s="35" t="s">
        <v>69</v>
      </c>
      <c r="G2" s="8"/>
      <c r="H2" s="5" t="s">
        <v>315</v>
      </c>
      <c r="I2" t="s">
        <v>18</v>
      </c>
      <c r="J2" t="s">
        <v>314</v>
      </c>
      <c r="M2" s="8" t="str">
        <f>INDEX(F1:F101, MATCH(MAX(E1:E101), E:E, 0))</f>
        <v>PROD001</v>
      </c>
      <c r="N2" s="8"/>
      <c r="O2" s="13">
        <f>SUMIF(C:C,C19,E:E)</f>
        <v>13656</v>
      </c>
      <c r="P2" s="8"/>
      <c r="Q2" s="62">
        <f>COUNTIF(B:B, "Fast") / COUNTIF(C:C, "Delivered")*100</f>
        <v>32.352941176470587</v>
      </c>
      <c r="R2" s="8"/>
      <c r="V2" s="4"/>
    </row>
    <row r="3" spans="1:26" x14ac:dyDescent="0.35">
      <c r="A3" s="10"/>
      <c r="B3" s="35" t="str">
        <f>IFERROR(
IF(AmazonSales!E:E&lt;&gt;"","Cancelled",
IF(AmazonSales!C:C="","No Delivery Date",
IF(AmazonSales!C:C&lt;AmazonSales!B:B,"Check Dates",
IF(AmazonSales!C:C-AmazonSales!B:B&lt;=2,"Fast","Slow")
)
)
),
)</f>
        <v>Fast</v>
      </c>
      <c r="C3" s="35" t="s">
        <v>29</v>
      </c>
      <c r="D3" s="49" t="s">
        <v>28</v>
      </c>
      <c r="E3" s="36">
        <v>81</v>
      </c>
      <c r="F3" s="35" t="s">
        <v>69</v>
      </c>
      <c r="G3" s="8"/>
      <c r="H3" s="6" t="s">
        <v>45</v>
      </c>
      <c r="I3">
        <v>5</v>
      </c>
      <c r="J3">
        <v>5</v>
      </c>
      <c r="M3" s="8">
        <f>SUMIF(F:F,M2,E:E)</f>
        <v>9644</v>
      </c>
      <c r="N3" s="8"/>
      <c r="O3" s="8"/>
      <c r="P3" s="8"/>
      <c r="Q3" s="8"/>
      <c r="R3" s="8"/>
      <c r="S3" s="5" t="s">
        <v>315</v>
      </c>
      <c r="T3" t="s">
        <v>312</v>
      </c>
    </row>
    <row r="4" spans="1:26" x14ac:dyDescent="0.35">
      <c r="A4" s="10"/>
      <c r="B4" s="35" t="str">
        <f>IFERROR(
IF(AmazonSales!E:E&lt;&gt;"","Cancelled",
IF(AmazonSales!C:C="","No Delivery Date",
IF(AmazonSales!C:C&lt;AmazonSales!B:B,"Check Dates",
IF(AmazonSales!C:C-AmazonSales!B:B&lt;=2,"Fast","Slow")
)
)
),
)</f>
        <v>No Delivery Date</v>
      </c>
      <c r="C4" s="35" t="s">
        <v>18</v>
      </c>
      <c r="D4" s="48" t="s">
        <v>50</v>
      </c>
      <c r="E4" s="36">
        <v>185</v>
      </c>
      <c r="F4" s="35" t="s">
        <v>49</v>
      </c>
      <c r="G4" s="8"/>
      <c r="H4" s="6" t="s">
        <v>23</v>
      </c>
      <c r="I4">
        <v>3</v>
      </c>
      <c r="J4">
        <v>3</v>
      </c>
      <c r="M4" s="8"/>
      <c r="N4" s="8"/>
      <c r="O4" s="8"/>
      <c r="P4" s="8"/>
      <c r="Q4" s="8"/>
      <c r="R4" s="8"/>
      <c r="S4" s="6" t="s">
        <v>16</v>
      </c>
      <c r="T4" s="4">
        <v>10491</v>
      </c>
    </row>
    <row r="5" spans="1:26" x14ac:dyDescent="0.35">
      <c r="A5" s="10"/>
      <c r="B5" s="35" t="str">
        <f>IFERROR(
IF(AmazonSales!E:E&lt;&gt;"","Cancelled",
IF(AmazonSales!C:C="","No Delivery Date",
IF(AmazonSales!C:C&lt;AmazonSales!B:B,"Check Dates",
IF(AmazonSales!C:C-AmazonSales!B:B&lt;=2,"Fast","Slow")
)
)
),
)</f>
        <v>Cancelled</v>
      </c>
      <c r="C5" s="35" t="s">
        <v>29</v>
      </c>
      <c r="D5" s="49" t="s">
        <v>50</v>
      </c>
      <c r="E5" s="36">
        <v>230</v>
      </c>
      <c r="F5" s="35" t="s">
        <v>15</v>
      </c>
      <c r="G5" s="8"/>
      <c r="H5" s="6" t="s">
        <v>16</v>
      </c>
      <c r="I5">
        <v>10</v>
      </c>
      <c r="J5">
        <v>10</v>
      </c>
      <c r="M5" s="8"/>
      <c r="N5" s="8"/>
      <c r="O5" s="8"/>
      <c r="P5" s="8"/>
      <c r="Q5" s="8"/>
      <c r="R5" s="8"/>
      <c r="S5" s="6" t="s">
        <v>28</v>
      </c>
      <c r="T5" s="4">
        <v>7317</v>
      </c>
      <c r="Z5" s="19"/>
    </row>
    <row r="6" spans="1:26" x14ac:dyDescent="0.35">
      <c r="A6" s="10"/>
      <c r="B6" s="35" t="str">
        <f>IFERROR(
IF(AmazonSales!E:E&lt;&gt;"","Cancelled",
IF(AmazonSales!C:C="","No Delivery Date",
IF(AmazonSales!C:C&lt;AmazonSales!B:B,"Check Dates",
IF(AmazonSales!C:C-AmazonSales!B:B&lt;=2,"Fast","Slow")
)
)
),
)</f>
        <v>Slow</v>
      </c>
      <c r="C6" s="35" t="s">
        <v>29</v>
      </c>
      <c r="D6" s="49" t="s">
        <v>45</v>
      </c>
      <c r="E6" s="36">
        <v>741</v>
      </c>
      <c r="F6" s="35" t="s">
        <v>58</v>
      </c>
      <c r="G6" s="8"/>
      <c r="H6" s="6" t="s">
        <v>28</v>
      </c>
      <c r="I6">
        <v>4</v>
      </c>
      <c r="J6">
        <v>4</v>
      </c>
      <c r="M6" s="8"/>
      <c r="N6" s="8"/>
      <c r="O6" s="8"/>
      <c r="P6" s="8"/>
      <c r="Q6" s="8"/>
      <c r="R6" s="8"/>
      <c r="S6" s="6" t="s">
        <v>50</v>
      </c>
      <c r="T6" s="4">
        <v>8359</v>
      </c>
    </row>
    <row r="7" spans="1:26" x14ac:dyDescent="0.35">
      <c r="A7" s="10"/>
      <c r="B7" s="35" t="str">
        <f>IFERROR(
IF(AmazonSales!E:E&lt;&gt;"","Cancelled",
IF(AmazonSales!C:C="","No Delivery Date",
IF(AmazonSales!C:C&lt;AmazonSales!B:B,"Check Dates",
IF(AmazonSales!C:C-AmazonSales!B:B&lt;=2,"Fast","Slow")
)
)
),
)</f>
        <v>Cancelled</v>
      </c>
      <c r="C7" s="35" t="s">
        <v>29</v>
      </c>
      <c r="D7" s="48" t="s">
        <v>28</v>
      </c>
      <c r="E7" s="36">
        <v>564</v>
      </c>
      <c r="F7" s="35" t="s">
        <v>55</v>
      </c>
      <c r="G7" s="8"/>
      <c r="H7" s="6" t="s">
        <v>50</v>
      </c>
      <c r="I7">
        <v>8</v>
      </c>
      <c r="J7">
        <v>8</v>
      </c>
      <c r="M7" s="8"/>
      <c r="N7" s="8"/>
      <c r="O7" s="8"/>
      <c r="P7" s="8"/>
      <c r="Q7" s="8"/>
      <c r="R7" s="8"/>
      <c r="S7" s="6" t="s">
        <v>314</v>
      </c>
      <c r="T7" s="4">
        <v>26167</v>
      </c>
    </row>
    <row r="8" spans="1:26" x14ac:dyDescent="0.35">
      <c r="A8" s="10"/>
      <c r="B8" s="35" t="str">
        <f>IFERROR(
IF(AmazonSales!E:E&lt;&gt;"","Cancelled",
IF(AmazonSales!C:C="","No Delivery Date",
IF(AmazonSales!C:C&lt;AmazonSales!B:B,"Check Dates",
IF(AmazonSales!C:C-AmazonSales!B:B&lt;=2,"Fast","Slow")
)
)
),
)</f>
        <v>Cancelled</v>
      </c>
      <c r="C8" s="35" t="s">
        <v>29</v>
      </c>
      <c r="D8" s="49" t="s">
        <v>45</v>
      </c>
      <c r="E8" s="36">
        <v>84</v>
      </c>
      <c r="F8" s="35" t="s">
        <v>73</v>
      </c>
      <c r="G8" s="8"/>
      <c r="H8" s="6" t="s">
        <v>314</v>
      </c>
      <c r="I8">
        <v>30</v>
      </c>
      <c r="J8">
        <v>30</v>
      </c>
      <c r="M8" s="8"/>
      <c r="N8" s="8"/>
      <c r="O8" s="8"/>
      <c r="P8" s="8"/>
      <c r="Q8" s="8"/>
      <c r="R8" s="8"/>
    </row>
    <row r="9" spans="1:26" x14ac:dyDescent="0.35">
      <c r="A9" s="10"/>
      <c r="B9" s="35" t="str">
        <f>IFERROR(
IF(AmazonSales!E:E&lt;&gt;"","Cancelled",
IF(AmazonSales!C:C="","No Delivery Date",
IF(AmazonSales!C:C&lt;AmazonSales!B:B,"Check Dates",
IF(AmazonSales!C:C-AmazonSales!B:B&lt;=2,"Fast","Slow")
)
)
),
)</f>
        <v>Cancelled</v>
      </c>
      <c r="C9" s="35" t="s">
        <v>18</v>
      </c>
      <c r="D9" s="49" t="s">
        <v>50</v>
      </c>
      <c r="E9" s="36">
        <v>370</v>
      </c>
      <c r="F9" s="35" t="s">
        <v>67</v>
      </c>
      <c r="G9" s="8"/>
      <c r="K9" s="8"/>
      <c r="L9" s="8"/>
      <c r="M9" s="8"/>
      <c r="N9" s="8"/>
      <c r="O9" s="8"/>
      <c r="P9" s="8"/>
      <c r="Q9" s="8"/>
      <c r="R9" s="8"/>
    </row>
    <row r="10" spans="1:26" x14ac:dyDescent="0.35">
      <c r="A10" s="10"/>
      <c r="B10" s="35" t="str">
        <f>IFERROR(
IF(AmazonSales!E:E&lt;&gt;"","Cancelled",
IF(AmazonSales!C:C="","No Delivery Date",
IF(AmazonSales!C:C&lt;AmazonSales!B:B,"Check Dates",
IF(AmazonSales!C:C-AmazonSales!B:B&lt;=2,"Fast","Slow")
)
)
),
)</f>
        <v>No Delivery Date</v>
      </c>
      <c r="C10" s="35" t="s">
        <v>29</v>
      </c>
      <c r="D10" s="49" t="s">
        <v>50</v>
      </c>
      <c r="E10" s="36">
        <v>350</v>
      </c>
      <c r="F10" s="35" t="s">
        <v>76</v>
      </c>
      <c r="G10" s="8"/>
      <c r="K10" s="8"/>
      <c r="L10" s="8"/>
      <c r="M10" s="8"/>
      <c r="N10" s="8"/>
      <c r="O10" s="8"/>
      <c r="P10" s="8"/>
      <c r="Q10" s="8"/>
      <c r="R10" s="8"/>
    </row>
    <row r="11" spans="1:26" x14ac:dyDescent="0.35">
      <c r="A11" s="10"/>
      <c r="B11" s="35" t="str">
        <f>IFERROR(
IF(AmazonSales!E:E&lt;&gt;"","Cancelled",
IF(AmazonSales!C:C="","No Delivery Date",
IF(AmazonSales!C:C&lt;AmazonSales!B:B,"Check Dates",
IF(AmazonSales!C:C-AmazonSales!B:B&lt;=2,"Fast","Slow")
)
)
),
)</f>
        <v>No Delivery Date</v>
      </c>
      <c r="C11" s="35" t="s">
        <v>18</v>
      </c>
      <c r="D11" s="48" t="s">
        <v>16</v>
      </c>
      <c r="E11" s="36">
        <v>588</v>
      </c>
      <c r="F11" s="35" t="s">
        <v>27</v>
      </c>
      <c r="G11" s="8"/>
      <c r="K11" s="8"/>
      <c r="L11" s="8"/>
      <c r="M11" s="8"/>
      <c r="N11" s="8"/>
      <c r="O11" s="8"/>
      <c r="P11" s="8"/>
      <c r="Q11" s="8"/>
      <c r="R11" s="8"/>
    </row>
    <row r="12" spans="1:26" x14ac:dyDescent="0.35">
      <c r="A12" s="10"/>
      <c r="B12" s="35" t="str">
        <f>IFERROR(
IF(AmazonSales!E:E&lt;&gt;"","Cancelled",
IF(AmazonSales!C:C="","No Delivery Date",
IF(AmazonSales!C:C&lt;AmazonSales!B:B,"Check Dates",
IF(AmazonSales!C:C-AmazonSales!B:B&lt;=2,"Fast","Slow")
)
)
),
)</f>
        <v>Cancelled</v>
      </c>
      <c r="C12" s="35" t="s">
        <v>29</v>
      </c>
      <c r="D12" s="49" t="s">
        <v>28</v>
      </c>
      <c r="E12" s="36">
        <v>376</v>
      </c>
      <c r="F12" s="35" t="s">
        <v>64</v>
      </c>
      <c r="G12" s="8"/>
      <c r="K12" s="8"/>
      <c r="L12" s="8"/>
      <c r="M12" s="8"/>
      <c r="N12" s="8"/>
      <c r="O12" s="8"/>
      <c r="P12" s="8"/>
      <c r="Q12" s="8"/>
      <c r="R12" s="8"/>
    </row>
    <row r="13" spans="1:26" x14ac:dyDescent="0.35">
      <c r="A13" s="10"/>
      <c r="B13" s="35" t="str">
        <f>IFERROR(
IF(AmazonSales!E:E&lt;&gt;"","Cancelled",
IF(AmazonSales!C:C="","No Delivery Date",
IF(AmazonSales!C:C&lt;AmazonSales!B:B,"Check Dates",
IF(AmazonSales!C:C-AmazonSales!B:B&lt;=2,"Fast","Slow")
)
)
),
)</f>
        <v>No Delivery Date</v>
      </c>
      <c r="C13" s="35" t="s">
        <v>18</v>
      </c>
      <c r="D13" s="48" t="s">
        <v>16</v>
      </c>
      <c r="E13" s="36">
        <v>44</v>
      </c>
      <c r="F13" s="35" t="s">
        <v>15</v>
      </c>
      <c r="G13" s="8"/>
      <c r="K13" s="8"/>
      <c r="L13" s="8"/>
      <c r="M13" s="8"/>
      <c r="N13" s="8"/>
      <c r="O13" s="8"/>
      <c r="P13" s="8"/>
      <c r="Q13" s="8"/>
      <c r="R13" s="8"/>
    </row>
    <row r="14" spans="1:26" x14ac:dyDescent="0.35">
      <c r="A14" s="10"/>
      <c r="B14" s="35" t="str">
        <f>IFERROR(
IF(AmazonSales!E:E&lt;&gt;"","Cancelled",
IF(AmazonSales!C:C="","No Delivery Date",
IF(AmazonSales!C:C&lt;AmazonSales!B:B,"Check Dates",
IF(AmazonSales!C:C-AmazonSales!B:B&lt;=2,"Fast","Slow")
)
)
),
)</f>
        <v>Cancelled</v>
      </c>
      <c r="C14" s="35" t="s">
        <v>29</v>
      </c>
      <c r="D14" s="48" t="s">
        <v>28</v>
      </c>
      <c r="E14" s="36">
        <v>776</v>
      </c>
      <c r="F14" s="35" t="s">
        <v>27</v>
      </c>
      <c r="G14" s="8"/>
      <c r="K14" s="8"/>
      <c r="L14" s="8"/>
      <c r="M14" s="8"/>
      <c r="N14" s="8"/>
      <c r="O14" s="8"/>
      <c r="P14" s="8"/>
      <c r="Q14" s="8"/>
      <c r="R14" s="8"/>
    </row>
    <row r="15" spans="1:26" x14ac:dyDescent="0.35">
      <c r="A15" s="10"/>
      <c r="B15" s="35" t="str">
        <f>IFERROR(
IF(AmazonSales!E:E&lt;&gt;"","Cancelled",
IF(AmazonSales!C:C="","No Delivery Date",
IF(AmazonSales!C:C&lt;AmazonSales!B:B,"Check Dates",
IF(AmazonSales!C:C-AmazonSales!B:B&lt;=2,"Fast","Slow")
)
)
),
)</f>
        <v>Cancelled</v>
      </c>
      <c r="C15" s="35" t="s">
        <v>29</v>
      </c>
      <c r="D15" s="48" t="s">
        <v>45</v>
      </c>
      <c r="E15" s="36">
        <v>88</v>
      </c>
      <c r="F15" s="35" t="s">
        <v>53</v>
      </c>
      <c r="G15" s="8"/>
      <c r="K15" s="8"/>
      <c r="L15" s="8"/>
      <c r="M15" s="8"/>
      <c r="N15" s="8"/>
      <c r="O15" s="8"/>
      <c r="P15" s="8"/>
      <c r="Q15" s="8"/>
      <c r="R15" s="8"/>
    </row>
    <row r="16" spans="1:26" x14ac:dyDescent="0.35">
      <c r="A16" s="10"/>
      <c r="B16" s="35" t="str">
        <f>IFERROR(
IF(AmazonSales!E:E&lt;&gt;"","Cancelled",
IF(AmazonSales!C:C="","No Delivery Date",
IF(AmazonSales!C:C&lt;AmazonSales!B:B,"Check Dates",
IF(AmazonSales!C:C-AmazonSales!B:B&lt;=2,"Fast","Slow")
)
)
),
)</f>
        <v>Cancelled</v>
      </c>
      <c r="C16" s="35" t="s">
        <v>18</v>
      </c>
      <c r="D16" s="49" t="s">
        <v>45</v>
      </c>
      <c r="E16" s="36">
        <v>96</v>
      </c>
      <c r="F16" s="35" t="s">
        <v>64</v>
      </c>
      <c r="G16" s="8"/>
      <c r="K16" s="8"/>
      <c r="L16" s="8"/>
      <c r="M16" s="8"/>
      <c r="N16" s="8"/>
      <c r="O16" s="8"/>
      <c r="P16" s="8"/>
      <c r="Q16" s="8"/>
      <c r="R16" s="8"/>
    </row>
    <row r="17" spans="1:21" x14ac:dyDescent="0.35">
      <c r="A17" s="10"/>
      <c r="B17" s="35" t="str">
        <f>IFERROR(
IF(AmazonSales!E:E&lt;&gt;"","Cancelled",
IF(AmazonSales!C:C="","No Delivery Date",
IF(AmazonSales!C:C&lt;AmazonSales!B:B,"Check Dates",
IF(AmazonSales!C:C-AmazonSales!B:B&lt;=2,"Fast","Slow")
)
)
),
)</f>
        <v>No Delivery Date</v>
      </c>
      <c r="C17" s="35" t="s">
        <v>29</v>
      </c>
      <c r="D17" s="49" t="s">
        <v>16</v>
      </c>
      <c r="E17" s="36">
        <v>1626</v>
      </c>
      <c r="F17" s="35" t="s">
        <v>81</v>
      </c>
      <c r="G17" s="8"/>
      <c r="K17" s="8"/>
      <c r="L17" s="8"/>
      <c r="M17" s="8"/>
      <c r="N17" s="8"/>
      <c r="O17" s="8"/>
      <c r="P17" s="8"/>
      <c r="Q17" s="8"/>
      <c r="R17" s="8"/>
    </row>
    <row r="18" spans="1:21" x14ac:dyDescent="0.35">
      <c r="A18" s="10"/>
      <c r="B18" s="35" t="str">
        <f>IFERROR(
IF(AmazonSales!E:E&lt;&gt;"","Cancelled",
IF(AmazonSales!C:C="","No Delivery Date",
IF(AmazonSales!C:C&lt;AmazonSales!B:B,"Check Dates",
IF(AmazonSales!C:C-AmazonSales!B:B&lt;=2,"Fast","Slow")
)
)
),
)</f>
        <v>Slow</v>
      </c>
      <c r="C18" s="35" t="s">
        <v>18</v>
      </c>
      <c r="D18" s="49" t="s">
        <v>28</v>
      </c>
      <c r="E18" s="36">
        <v>249</v>
      </c>
      <c r="F18" s="35" t="s">
        <v>58</v>
      </c>
      <c r="G18" s="8"/>
      <c r="K18" s="8"/>
      <c r="L18" s="8"/>
      <c r="M18" s="8"/>
      <c r="N18" s="8"/>
      <c r="O18" s="8"/>
      <c r="P18" s="8"/>
      <c r="Q18" s="8"/>
      <c r="R18" s="8"/>
    </row>
    <row r="19" spans="1:21" x14ac:dyDescent="0.35">
      <c r="A19" s="10"/>
      <c r="B19" s="35" t="str">
        <f>IFERROR(
IF(AmazonSales!E:E&lt;&gt;"","Cancelled",
IF(AmazonSales!C:C="","No Delivery Date",
IF(AmazonSales!C:C&lt;AmazonSales!B:B,"Check Dates",
IF(AmazonSales!C:C-AmazonSales!B:B&lt;=2,"Fast","Slow")
)
)
),
)</f>
        <v>No Delivery Date</v>
      </c>
      <c r="C19" s="35" t="s">
        <v>25</v>
      </c>
      <c r="D19" s="48" t="s">
        <v>23</v>
      </c>
      <c r="E19" s="36">
        <v>384</v>
      </c>
      <c r="F19" s="35" t="s">
        <v>22</v>
      </c>
      <c r="G19" s="8"/>
      <c r="H19" s="8"/>
      <c r="I19" s="8"/>
      <c r="J19" s="8"/>
      <c r="K19" s="8"/>
      <c r="L19" s="8"/>
      <c r="M19" s="8"/>
      <c r="N19" s="8"/>
      <c r="O19" s="8"/>
      <c r="P19" s="8"/>
      <c r="Q19" s="8"/>
      <c r="R19" s="8"/>
      <c r="S19" s="8"/>
      <c r="T19" s="8"/>
      <c r="U19" s="8"/>
    </row>
    <row r="20" spans="1:21" x14ac:dyDescent="0.35">
      <c r="A20" s="10"/>
      <c r="B20" s="35" t="str">
        <f>IFERROR(
IF(AmazonSales!E:E&lt;&gt;"","Cancelled",
IF(AmazonSales!C:C="","No Delivery Date",
IF(AmazonSales!C:C&lt;AmazonSales!B:B,"Check Dates",
IF(AmazonSales!C:C-AmazonSales!B:B&lt;=2,"Fast","Slow")
)
)
),
)</f>
        <v>No Delivery Date</v>
      </c>
      <c r="C20" s="35" t="s">
        <v>18</v>
      </c>
      <c r="D20" s="48" t="s">
        <v>45</v>
      </c>
      <c r="E20" s="36">
        <v>315</v>
      </c>
      <c r="F20" s="35" t="s">
        <v>44</v>
      </c>
      <c r="G20" s="8"/>
      <c r="H20" s="8"/>
      <c r="I20" s="8"/>
      <c r="J20" s="8"/>
      <c r="K20" s="8"/>
      <c r="L20" s="8"/>
      <c r="M20" s="8"/>
      <c r="N20" s="8"/>
      <c r="O20" s="8"/>
      <c r="P20" s="8"/>
      <c r="Q20" s="8"/>
      <c r="R20" s="8"/>
      <c r="S20" s="8"/>
      <c r="T20" s="8"/>
      <c r="U20" s="8"/>
    </row>
    <row r="21" spans="1:21" x14ac:dyDescent="0.35">
      <c r="A21" s="10"/>
      <c r="B21" s="35" t="str">
        <f>IFERROR(
IF(AmazonSales!E:E&lt;&gt;"","Cancelled",
IF(AmazonSales!C:C="","No Delivery Date",
IF(AmazonSales!C:C&lt;AmazonSales!B:B,"Check Dates",
IF(AmazonSales!C:C-AmazonSales!B:B&lt;=2,"Fast","Slow")
)
)
),
)</f>
        <v>No Delivery Date</v>
      </c>
      <c r="C21" s="35" t="s">
        <v>25</v>
      </c>
      <c r="D21" s="48" t="s">
        <v>16</v>
      </c>
      <c r="E21" s="36">
        <v>59</v>
      </c>
      <c r="F21" s="35" t="s">
        <v>37</v>
      </c>
      <c r="G21" s="8"/>
      <c r="H21" s="8"/>
      <c r="I21" s="8"/>
      <c r="J21" s="8"/>
      <c r="K21" s="8"/>
      <c r="L21" s="8"/>
      <c r="M21" s="8"/>
      <c r="N21" s="8"/>
      <c r="O21" s="8"/>
      <c r="P21" s="8"/>
      <c r="Q21" s="8"/>
      <c r="R21" s="8"/>
      <c r="S21" s="8"/>
      <c r="T21" s="8"/>
      <c r="U21" s="8"/>
    </row>
    <row r="22" spans="1:21" x14ac:dyDescent="0.35">
      <c r="A22" s="10"/>
      <c r="B22" s="35" t="str">
        <f>IFERROR(
IF(AmazonSales!E:E&lt;&gt;"","Cancelled",
IF(AmazonSales!C:C="","No Delivery Date",
IF(AmazonSales!C:C&lt;AmazonSales!B:B,"Check Dates",
IF(AmazonSales!C:C-AmazonSales!B:B&lt;=2,"Fast","Slow")
)
)
),
)</f>
        <v>No Delivery Date</v>
      </c>
      <c r="C22" s="35" t="s">
        <v>18</v>
      </c>
      <c r="D22" s="48" t="s">
        <v>16</v>
      </c>
      <c r="E22" s="36">
        <v>232</v>
      </c>
      <c r="F22" s="35" t="s">
        <v>37</v>
      </c>
      <c r="G22" s="8"/>
      <c r="H22" s="8"/>
      <c r="I22" s="8"/>
      <c r="J22" s="8"/>
      <c r="K22" s="8"/>
      <c r="L22" s="8"/>
      <c r="M22" s="8"/>
      <c r="N22" s="8"/>
      <c r="O22" s="8"/>
      <c r="P22" s="8"/>
      <c r="Q22" s="8"/>
      <c r="R22" s="8"/>
      <c r="S22" s="8"/>
      <c r="T22" s="8"/>
      <c r="U22" s="8"/>
    </row>
    <row r="23" spans="1:21" x14ac:dyDescent="0.35">
      <c r="A23" s="10"/>
      <c r="B23" s="35" t="str">
        <f>IFERROR(
IF(AmazonSales!E:E&lt;&gt;"","Cancelled",
IF(AmazonSales!C:C="","No Delivery Date",
IF(AmazonSales!C:C&lt;AmazonSales!B:B,"Check Dates",
IF(AmazonSales!C:C-AmazonSales!B:B&lt;=2,"Fast","Slow")
)
)
),
)</f>
        <v>No Delivery Date</v>
      </c>
      <c r="C23" s="35" t="s">
        <v>25</v>
      </c>
      <c r="D23" s="49" t="s">
        <v>23</v>
      </c>
      <c r="E23" s="36">
        <v>63</v>
      </c>
      <c r="F23" s="35" t="s">
        <v>73</v>
      </c>
      <c r="G23" s="8"/>
      <c r="H23" s="8"/>
      <c r="I23" s="8"/>
      <c r="J23" s="8"/>
      <c r="K23" s="8"/>
      <c r="L23" s="8"/>
      <c r="M23" s="8"/>
      <c r="N23" s="8"/>
      <c r="O23" s="8"/>
      <c r="P23" s="8"/>
      <c r="Q23" s="8"/>
      <c r="R23" s="8"/>
      <c r="S23" s="8"/>
      <c r="T23" s="8"/>
      <c r="U23" s="8"/>
    </row>
    <row r="24" spans="1:21" x14ac:dyDescent="0.35">
      <c r="A24" s="10"/>
      <c r="B24" s="35" t="str">
        <f>IFERROR(
IF(AmazonSales!E:E&lt;&gt;"","Cancelled",
IF(AmazonSales!C:C="","No Delivery Date",
IF(AmazonSales!C:C&lt;AmazonSales!B:B,"Check Dates",
IF(AmazonSales!C:C-AmazonSales!B:B&lt;=2,"Fast","Slow")
)
)
),
)</f>
        <v>Cancelled</v>
      </c>
      <c r="C24" s="35" t="s">
        <v>18</v>
      </c>
      <c r="D24" s="49" t="s">
        <v>50</v>
      </c>
      <c r="E24" s="36">
        <v>174</v>
      </c>
      <c r="F24" s="35" t="s">
        <v>37</v>
      </c>
      <c r="G24" s="8"/>
      <c r="H24" s="8"/>
      <c r="I24" s="8"/>
      <c r="J24" s="8"/>
      <c r="K24" s="8"/>
      <c r="L24" s="1"/>
      <c r="M24" s="8"/>
      <c r="N24" s="8"/>
      <c r="O24" s="8"/>
      <c r="P24" s="8"/>
      <c r="Q24" s="8"/>
      <c r="R24" s="8"/>
      <c r="S24" s="8"/>
      <c r="T24" s="8"/>
      <c r="U24" s="8"/>
    </row>
    <row r="25" spans="1:21" x14ac:dyDescent="0.35">
      <c r="A25" s="10"/>
      <c r="B25" s="35" t="str">
        <f>IFERROR(
IF(AmazonSales!E:E&lt;&gt;"","Cancelled",
IF(AmazonSales!C:C="","No Delivery Date",
IF(AmazonSales!C:C&lt;AmazonSales!B:B,"Check Dates",
IF(AmazonSales!C:C-AmazonSales!B:B&lt;=2,"Fast","Slow")
)
)
),
)</f>
        <v>Slow</v>
      </c>
      <c r="C25" s="35" t="s">
        <v>25</v>
      </c>
      <c r="D25" s="49" t="s">
        <v>50</v>
      </c>
      <c r="E25" s="36">
        <v>480</v>
      </c>
      <c r="F25" s="35" t="s">
        <v>64</v>
      </c>
      <c r="G25" s="8"/>
      <c r="H25" s="8"/>
      <c r="I25" s="8"/>
      <c r="J25" s="8"/>
      <c r="K25" s="8"/>
      <c r="M25" s="8"/>
      <c r="N25" s="8"/>
      <c r="O25" s="8"/>
      <c r="P25" s="8"/>
      <c r="Q25" s="8"/>
      <c r="R25" s="8"/>
      <c r="S25" s="8"/>
      <c r="T25" s="8"/>
      <c r="U25" s="8"/>
    </row>
    <row r="26" spans="1:21" x14ac:dyDescent="0.35">
      <c r="A26" s="10"/>
      <c r="B26" s="35" t="str">
        <f>IFERROR(
IF(AmazonSales!E:E&lt;&gt;"","Cancelled",
IF(AmazonSales!C:C="","No Delivery Date",
IF(AmazonSales!C:C&lt;AmazonSales!B:B,"Check Dates",
IF(AmazonSales!C:C-AmazonSales!B:B&lt;=2,"Fast","Slow")
)
)
),
)</f>
        <v>Fast</v>
      </c>
      <c r="C26" s="35" t="s">
        <v>25</v>
      </c>
      <c r="D26" s="49" t="s">
        <v>28</v>
      </c>
      <c r="E26" s="36">
        <v>43</v>
      </c>
      <c r="F26" s="35" t="s">
        <v>90</v>
      </c>
      <c r="G26" s="8"/>
      <c r="H26" s="8"/>
      <c r="I26" s="8"/>
      <c r="J26" s="8"/>
      <c r="K26" s="8"/>
      <c r="M26" s="8"/>
      <c r="N26" s="8"/>
      <c r="O26" s="8"/>
      <c r="P26" s="8"/>
      <c r="Q26" s="8"/>
      <c r="R26" s="8"/>
      <c r="S26" s="8"/>
      <c r="T26" s="8"/>
      <c r="U26" s="8"/>
    </row>
    <row r="27" spans="1:21" x14ac:dyDescent="0.35">
      <c r="A27" s="10"/>
      <c r="B27" s="35" t="str">
        <f>IFERROR(
IF(AmazonSales!E:E&lt;&gt;"","Cancelled",
IF(AmazonSales!C:C="","No Delivery Date",
IF(AmazonSales!C:C&lt;AmazonSales!B:B,"Check Dates",
IF(AmazonSales!C:C-AmazonSales!B:B&lt;=2,"Fast","Slow")
)
)
),
)</f>
        <v>Slow</v>
      </c>
      <c r="C27" s="35" t="s">
        <v>25</v>
      </c>
      <c r="D27" s="49" t="s">
        <v>28</v>
      </c>
      <c r="E27" s="36">
        <v>256</v>
      </c>
      <c r="F27" s="35" t="s">
        <v>92</v>
      </c>
      <c r="G27" s="8"/>
      <c r="H27" s="8"/>
      <c r="I27" s="8"/>
      <c r="J27" s="8"/>
      <c r="K27" s="8"/>
      <c r="M27" s="8"/>
      <c r="N27" s="8"/>
      <c r="O27" s="8"/>
      <c r="P27" s="8"/>
      <c r="Q27" s="8"/>
      <c r="R27" s="8"/>
      <c r="S27" s="8"/>
      <c r="T27" s="8"/>
      <c r="U27" s="8"/>
    </row>
    <row r="28" spans="1:21" x14ac:dyDescent="0.35">
      <c r="A28" s="10"/>
      <c r="B28" s="35" t="str">
        <f>IFERROR(
IF(AmazonSales!E:E&lt;&gt;"","Cancelled",
IF(AmazonSales!C:C="","No Delivery Date",
IF(AmazonSales!C:C&lt;AmazonSales!B:B,"Check Dates",
IF(AmazonSales!C:C-AmazonSales!B:B&lt;=2,"Fast","Slow")
)
)
),
)</f>
        <v>No Delivery Date</v>
      </c>
      <c r="C28" s="35" t="s">
        <v>29</v>
      </c>
      <c r="D28" s="49" t="s">
        <v>28</v>
      </c>
      <c r="E28" s="36">
        <v>140</v>
      </c>
      <c r="F28" s="35" t="s">
        <v>76</v>
      </c>
      <c r="G28" s="8"/>
      <c r="H28" s="8"/>
      <c r="I28" s="8"/>
      <c r="J28" s="8"/>
      <c r="K28" s="8"/>
      <c r="M28" s="8"/>
      <c r="N28" s="8"/>
      <c r="O28" s="8"/>
      <c r="P28" s="8"/>
      <c r="Q28" s="8"/>
      <c r="R28" s="8"/>
      <c r="S28" s="8"/>
      <c r="T28" s="8"/>
      <c r="U28" s="8"/>
    </row>
    <row r="29" spans="1:21" x14ac:dyDescent="0.35">
      <c r="A29" s="10"/>
      <c r="B29" s="35" t="str">
        <f>IFERROR(
IF(AmazonSales!E:E&lt;&gt;"","Cancelled",
IF(AmazonSales!C:C="","No Delivery Date",
IF(AmazonSales!C:C&lt;AmazonSales!B:B,"Check Dates",
IF(AmazonSales!C:C-AmazonSales!B:B&lt;=2,"Fast","Slow")
)
)
),
)</f>
        <v>No Delivery Date</v>
      </c>
      <c r="C29" s="35" t="s">
        <v>29</v>
      </c>
      <c r="D29" s="49" t="s">
        <v>45</v>
      </c>
      <c r="E29" s="36">
        <v>291</v>
      </c>
      <c r="F29" s="35" t="s">
        <v>22</v>
      </c>
      <c r="G29" s="8"/>
      <c r="H29" s="8"/>
      <c r="I29" s="8"/>
      <c r="J29" s="8"/>
      <c r="K29" s="8"/>
      <c r="M29" s="8"/>
      <c r="N29" s="8"/>
      <c r="O29" s="8"/>
      <c r="P29" s="8"/>
      <c r="Q29" s="8"/>
      <c r="R29" s="8"/>
      <c r="S29" s="8"/>
      <c r="T29" s="8"/>
      <c r="U29" s="8"/>
    </row>
    <row r="30" spans="1:21" x14ac:dyDescent="0.35">
      <c r="A30" s="10"/>
      <c r="B30" s="35" t="str">
        <f>IFERROR(
IF(AmazonSales!E:E&lt;&gt;"","Cancelled",
IF(AmazonSales!C:C="","No Delivery Date",
IF(AmazonSales!C:C&lt;AmazonSales!B:B,"Check Dates",
IF(AmazonSales!C:C-AmazonSales!B:B&lt;=2,"Fast","Slow")
)
)
),
)</f>
        <v>Cancelled</v>
      </c>
      <c r="C30" s="35" t="s">
        <v>18</v>
      </c>
      <c r="D30" s="49" t="s">
        <v>23</v>
      </c>
      <c r="E30" s="36">
        <v>111</v>
      </c>
      <c r="F30" s="35" t="s">
        <v>49</v>
      </c>
      <c r="G30" s="8"/>
      <c r="H30" s="8"/>
      <c r="I30" s="8"/>
      <c r="J30" s="8"/>
      <c r="K30" s="8"/>
      <c r="M30" s="8"/>
      <c r="N30" s="8"/>
      <c r="O30" s="8"/>
      <c r="P30" s="8"/>
      <c r="Q30" s="8"/>
      <c r="R30" s="8"/>
      <c r="S30" s="8"/>
      <c r="T30" s="8"/>
      <c r="U30" s="8"/>
    </row>
    <row r="31" spans="1:21" x14ac:dyDescent="0.35">
      <c r="A31" s="10"/>
      <c r="B31" s="35" t="str">
        <f>IFERROR(
IF(AmazonSales!E:E&lt;&gt;"","Cancelled",
IF(AmazonSales!C:C="","No Delivery Date",
IF(AmazonSales!C:C&lt;AmazonSales!B:B,"Check Dates",
IF(AmazonSales!C:C-AmazonSales!B:B&lt;=2,"Fast","Slow")
)
)
),
)</f>
        <v>No Delivery Date</v>
      </c>
      <c r="C31" s="35" t="s">
        <v>29</v>
      </c>
      <c r="D31" s="49" t="s">
        <v>16</v>
      </c>
      <c r="E31" s="36">
        <v>345</v>
      </c>
      <c r="F31" s="35" t="s">
        <v>76</v>
      </c>
      <c r="G31" s="8"/>
      <c r="H31" s="8"/>
      <c r="I31" s="8"/>
      <c r="J31" s="8"/>
      <c r="K31" s="8"/>
      <c r="M31" s="8"/>
      <c r="N31" s="8"/>
      <c r="O31" s="8"/>
      <c r="P31" s="8"/>
      <c r="Q31" s="8"/>
      <c r="R31" s="8"/>
      <c r="S31" s="8"/>
      <c r="T31" s="8"/>
      <c r="U31" s="8"/>
    </row>
    <row r="32" spans="1:21" x14ac:dyDescent="0.35">
      <c r="A32" s="10"/>
      <c r="B32" s="35" t="str">
        <f>IFERROR(
IF(AmazonSales!E:E&lt;&gt;"","Cancelled",
IF(AmazonSales!C:C="","No Delivery Date",
IF(AmazonSales!C:C&lt;AmazonSales!B:B,"Check Dates",
IF(AmazonSales!C:C-AmazonSales!B:B&lt;=2,"Fast","Slow")
)
)
),
)</f>
        <v>No Delivery Date</v>
      </c>
      <c r="C32" s="35" t="s">
        <v>29</v>
      </c>
      <c r="D32" s="49" t="s">
        <v>16</v>
      </c>
      <c r="E32" s="36">
        <v>210</v>
      </c>
      <c r="F32" s="35" t="s">
        <v>90</v>
      </c>
      <c r="G32" s="8"/>
      <c r="H32" s="8"/>
      <c r="I32" s="8"/>
      <c r="J32" s="8"/>
      <c r="K32" s="8"/>
      <c r="M32" s="8"/>
      <c r="N32" s="8"/>
      <c r="O32" s="8"/>
      <c r="P32" s="8"/>
      <c r="Q32" s="8"/>
      <c r="R32" s="8"/>
      <c r="S32" s="8"/>
      <c r="T32" s="8"/>
      <c r="U32" s="8"/>
    </row>
    <row r="33" spans="1:21" x14ac:dyDescent="0.35">
      <c r="A33" s="10"/>
      <c r="B33" s="35" t="str">
        <f>IFERROR(
IF(AmazonSales!E:E&lt;&gt;"","Cancelled",
IF(AmazonSales!C:C="","No Delivery Date",
IF(AmazonSales!C:C&lt;AmazonSales!B:B,"Check Dates",
IF(AmazonSales!C:C-AmazonSales!B:B&lt;=2,"Fast","Slow")
)
)
),
)</f>
        <v>Cancelled</v>
      </c>
      <c r="C33" s="35" t="s">
        <v>18</v>
      </c>
      <c r="D33" s="49" t="s">
        <v>23</v>
      </c>
      <c r="E33" s="36">
        <v>55</v>
      </c>
      <c r="F33" s="35" t="s">
        <v>104</v>
      </c>
      <c r="G33" s="8"/>
      <c r="H33" s="8"/>
      <c r="I33" s="8"/>
      <c r="J33" s="8"/>
      <c r="K33" s="8"/>
      <c r="M33" s="8"/>
      <c r="N33" s="8"/>
      <c r="O33" s="8"/>
      <c r="P33" s="8"/>
      <c r="Q33" s="8"/>
      <c r="R33" s="8"/>
      <c r="S33" s="8"/>
      <c r="T33" s="8"/>
      <c r="U33" s="8"/>
    </row>
    <row r="34" spans="1:21" x14ac:dyDescent="0.35">
      <c r="A34" s="10"/>
      <c r="B34" s="35" t="str">
        <f>IFERROR(
IF(AmazonSales!E:E&lt;&gt;"","Cancelled",
IF(AmazonSales!C:C="","No Delivery Date",
IF(AmazonSales!C:C&lt;AmazonSales!B:B,"Check Dates",
IF(AmazonSales!C:C-AmazonSales!B:B&lt;=2,"Fast","Slow")
)
)
),
)</f>
        <v>Fast</v>
      </c>
      <c r="C34" s="35" t="s">
        <v>25</v>
      </c>
      <c r="D34" s="49" t="s">
        <v>28</v>
      </c>
      <c r="E34" s="36">
        <v>54</v>
      </c>
      <c r="F34" s="35" t="s">
        <v>69</v>
      </c>
      <c r="G34" s="8"/>
      <c r="H34" s="8"/>
      <c r="I34" s="8"/>
      <c r="J34" s="8"/>
      <c r="K34" s="8"/>
      <c r="M34" s="8"/>
      <c r="N34" s="8"/>
      <c r="O34" s="8"/>
      <c r="P34" s="8"/>
      <c r="Q34" s="8"/>
      <c r="R34" s="8"/>
      <c r="S34" s="8"/>
      <c r="T34" s="8"/>
      <c r="U34" s="8"/>
    </row>
    <row r="35" spans="1:21" x14ac:dyDescent="0.35">
      <c r="A35" s="10"/>
      <c r="B35" s="35" t="str">
        <f>IFERROR(
IF(AmazonSales!E:E&lt;&gt;"","Cancelled",
IF(AmazonSales!C:C="","No Delivery Date",
IF(AmazonSales!C:C&lt;AmazonSales!B:B,"Check Dates",
IF(AmazonSales!C:C-AmazonSales!B:B&lt;=2,"Fast","Slow")
)
)
),
)</f>
        <v>No Delivery Date</v>
      </c>
      <c r="C35" s="35" t="s">
        <v>29</v>
      </c>
      <c r="D35" s="49" t="s">
        <v>28</v>
      </c>
      <c r="E35" s="36">
        <v>21</v>
      </c>
      <c r="F35" s="35" t="s">
        <v>73</v>
      </c>
      <c r="G35" s="8"/>
      <c r="H35" s="8"/>
      <c r="I35" s="8"/>
      <c r="J35" s="8"/>
      <c r="K35" s="8"/>
      <c r="M35" s="8"/>
      <c r="N35" s="8"/>
      <c r="O35" s="8"/>
      <c r="P35" s="8"/>
      <c r="Q35" s="8"/>
      <c r="R35" s="8"/>
      <c r="S35" s="8"/>
      <c r="T35" s="8"/>
      <c r="U35" s="8"/>
    </row>
    <row r="36" spans="1:21" x14ac:dyDescent="0.35">
      <c r="A36" s="10"/>
      <c r="B36" s="35" t="str">
        <f>IFERROR(
IF(AmazonSales!E:E&lt;&gt;"","Cancelled",
IF(AmazonSales!C:C="","No Delivery Date",
IF(AmazonSales!C:C&lt;AmazonSales!B:B,"Check Dates",
IF(AmazonSales!C:C-AmazonSales!B:B&lt;=2,"Fast","Slow")
)
)
),
)</f>
        <v>Slow</v>
      </c>
      <c r="C36" s="35" t="s">
        <v>25</v>
      </c>
      <c r="D36" s="49" t="s">
        <v>28</v>
      </c>
      <c r="E36" s="36">
        <v>172</v>
      </c>
      <c r="F36" s="35" t="s">
        <v>109</v>
      </c>
      <c r="G36" s="8"/>
      <c r="H36" s="8"/>
      <c r="I36" s="8"/>
      <c r="J36" s="8"/>
      <c r="K36" s="8"/>
      <c r="M36" s="8"/>
      <c r="N36" s="8"/>
      <c r="O36" s="8"/>
      <c r="P36" s="8"/>
      <c r="Q36" s="8"/>
      <c r="R36" s="8"/>
      <c r="S36" s="8"/>
      <c r="T36" s="8"/>
      <c r="U36" s="8"/>
    </row>
    <row r="37" spans="1:21" x14ac:dyDescent="0.35">
      <c r="A37" s="10"/>
      <c r="B37" s="35" t="str">
        <f>IFERROR(
IF(AmazonSales!E:E&lt;&gt;"","Cancelled",
IF(AmazonSales!C:C="","No Delivery Date",
IF(AmazonSales!C:C&lt;AmazonSales!B:B,"Check Dates",
IF(AmazonSales!C:C-AmazonSales!B:B&lt;=2,"Fast","Slow")
)
)
),
)</f>
        <v>No Delivery Date</v>
      </c>
      <c r="C37" s="35" t="s">
        <v>29</v>
      </c>
      <c r="D37" s="49" t="s">
        <v>16</v>
      </c>
      <c r="E37" s="36">
        <v>636</v>
      </c>
      <c r="F37" s="35" t="s">
        <v>111</v>
      </c>
      <c r="G37" s="8"/>
      <c r="H37" s="8"/>
      <c r="I37" s="8"/>
      <c r="J37" s="8"/>
      <c r="K37" s="8"/>
      <c r="M37" s="8"/>
      <c r="N37" s="8"/>
      <c r="O37" s="8"/>
      <c r="P37" s="8"/>
      <c r="Q37" s="8"/>
      <c r="R37" s="8"/>
      <c r="S37" s="8"/>
      <c r="T37" s="8"/>
      <c r="U37" s="8"/>
    </row>
    <row r="38" spans="1:21" x14ac:dyDescent="0.35">
      <c r="A38" s="10"/>
      <c r="B38" s="35" t="str">
        <f>IFERROR(
IF(AmazonSales!E:E&lt;&gt;"","Cancelled",
IF(AmazonSales!C:C="","No Delivery Date",
IF(AmazonSales!C:C&lt;AmazonSales!B:B,"Check Dates",
IF(AmazonSales!C:C-AmazonSales!B:B&lt;=2,"Fast","Slow")
)
)
),
)</f>
        <v>Slow</v>
      </c>
      <c r="C38" s="35" t="s">
        <v>25</v>
      </c>
      <c r="D38" s="49" t="s">
        <v>23</v>
      </c>
      <c r="E38" s="36">
        <v>164</v>
      </c>
      <c r="F38" s="35" t="s">
        <v>90</v>
      </c>
      <c r="G38" s="8"/>
      <c r="H38" s="8"/>
      <c r="I38" s="8"/>
      <c r="J38" s="8"/>
      <c r="K38" s="8"/>
      <c r="M38" s="8"/>
      <c r="N38" s="8"/>
      <c r="O38" s="8"/>
      <c r="P38" s="8"/>
      <c r="Q38" s="8"/>
      <c r="R38" s="8"/>
      <c r="S38" s="8"/>
      <c r="T38" s="8"/>
      <c r="U38" s="8"/>
    </row>
    <row r="39" spans="1:21" x14ac:dyDescent="0.35">
      <c r="A39" s="10"/>
      <c r="B39" s="35" t="str">
        <f>IFERROR(
IF(AmazonSales!E:E&lt;&gt;"","Cancelled",
IF(AmazonSales!C:C="","No Delivery Date",
IF(AmazonSales!C:C&lt;AmazonSales!B:B,"Check Dates",
IF(AmazonSales!C:C-AmazonSales!B:B&lt;=2,"Fast","Slow")
)
)
),
)</f>
        <v>Cancelled</v>
      </c>
      <c r="C39" s="35" t="s">
        <v>18</v>
      </c>
      <c r="D39" s="49" t="s">
        <v>16</v>
      </c>
      <c r="E39" s="36">
        <v>64</v>
      </c>
      <c r="F39" s="35" t="s">
        <v>114</v>
      </c>
      <c r="G39" s="8"/>
      <c r="H39" s="8"/>
      <c r="I39" s="8"/>
      <c r="J39" s="8"/>
      <c r="K39" s="8"/>
      <c r="M39" s="8"/>
      <c r="N39" s="8"/>
      <c r="O39" s="8"/>
      <c r="P39" s="8"/>
      <c r="Q39" s="8"/>
      <c r="R39" s="8"/>
      <c r="S39" s="8"/>
      <c r="T39" s="8"/>
      <c r="U39" s="8"/>
    </row>
    <row r="40" spans="1:21" x14ac:dyDescent="0.35">
      <c r="A40" s="10"/>
      <c r="B40" s="35" t="str">
        <f>IFERROR(
IF(AmazonSales!E:E&lt;&gt;"","Cancelled",
IF(AmazonSales!C:C="","No Delivery Date",
IF(AmazonSales!C:C&lt;AmazonSales!B:B,"Check Dates",
IF(AmazonSales!C:C-AmazonSales!B:B&lt;=2,"Fast","Slow")
)
)
),
)</f>
        <v>No Delivery Date</v>
      </c>
      <c r="C40" s="35" t="s">
        <v>29</v>
      </c>
      <c r="D40" s="49" t="s">
        <v>23</v>
      </c>
      <c r="E40" s="36">
        <v>132</v>
      </c>
      <c r="F40" s="35" t="s">
        <v>92</v>
      </c>
      <c r="G40" s="8"/>
      <c r="H40" s="8"/>
      <c r="I40" s="8"/>
      <c r="J40" s="8"/>
      <c r="K40" s="8"/>
      <c r="M40" s="8"/>
      <c r="N40" s="8"/>
      <c r="O40" s="8"/>
      <c r="P40" s="8"/>
      <c r="Q40" s="8"/>
      <c r="R40" s="8"/>
      <c r="S40" s="8"/>
      <c r="T40" s="8"/>
      <c r="U40" s="8"/>
    </row>
    <row r="41" spans="1:21" x14ac:dyDescent="0.35">
      <c r="A41" s="10"/>
      <c r="B41" s="35" t="str">
        <f>IFERROR(
IF(AmazonSales!E:E&lt;&gt;"","Cancelled",
IF(AmazonSales!C:C="","No Delivery Date",
IF(AmazonSales!C:C&lt;AmazonSales!B:B,"Check Dates",
IF(AmazonSales!C:C-AmazonSales!B:B&lt;=2,"Fast","Slow")
)
)
),
)</f>
        <v>No Delivery Date</v>
      </c>
      <c r="C41" s="35" t="s">
        <v>29</v>
      </c>
      <c r="D41" s="49" t="s">
        <v>23</v>
      </c>
      <c r="E41" s="36">
        <v>248</v>
      </c>
      <c r="F41" s="35" t="s">
        <v>119</v>
      </c>
      <c r="G41" s="8"/>
      <c r="H41" s="8"/>
      <c r="I41" s="8"/>
      <c r="J41" s="8"/>
      <c r="K41" s="8"/>
      <c r="M41" s="8"/>
      <c r="N41" s="8"/>
      <c r="O41" s="8"/>
      <c r="P41" s="8"/>
      <c r="Q41" s="8"/>
      <c r="R41" s="8"/>
      <c r="S41" s="8"/>
      <c r="T41" s="8"/>
      <c r="U41" s="8"/>
    </row>
    <row r="42" spans="1:21" x14ac:dyDescent="0.35">
      <c r="A42" s="10"/>
      <c r="B42" s="35" t="str">
        <f>IFERROR(
IF(AmazonSales!E:E&lt;&gt;"","Cancelled",
IF(AmazonSales!C:C="","No Delivery Date",
IF(AmazonSales!C:C&lt;AmazonSales!B:B,"Check Dates",
IF(AmazonSales!C:C-AmazonSales!B:B&lt;=2,"Fast","Slow")
)
)
),
)</f>
        <v>Slow</v>
      </c>
      <c r="C42" s="35" t="s">
        <v>25</v>
      </c>
      <c r="D42" s="49" t="s">
        <v>50</v>
      </c>
      <c r="E42" s="36">
        <v>692</v>
      </c>
      <c r="F42" s="35" t="s">
        <v>109</v>
      </c>
      <c r="G42" s="8"/>
      <c r="H42" s="8"/>
      <c r="I42" s="8"/>
      <c r="J42" s="8"/>
      <c r="K42" s="8"/>
      <c r="M42" s="8"/>
      <c r="N42" s="8"/>
      <c r="O42" s="8"/>
      <c r="P42" s="8"/>
      <c r="Q42" s="8"/>
      <c r="R42" s="8"/>
      <c r="S42" s="8"/>
      <c r="T42" s="8"/>
      <c r="U42" s="8"/>
    </row>
    <row r="43" spans="1:21" x14ac:dyDescent="0.35">
      <c r="A43" s="10"/>
      <c r="B43" s="35" t="str">
        <f>IFERROR(
IF(AmazonSales!E:E&lt;&gt;"","Cancelled",
IF(AmazonSales!C:C="","No Delivery Date",
IF(AmazonSales!C:C&lt;AmazonSales!B:B,"Check Dates",
IF(AmazonSales!C:C-AmazonSales!B:B&lt;=2,"Fast","Slow")
)
)
),
)</f>
        <v>Fast</v>
      </c>
      <c r="C43" s="35" t="s">
        <v>25</v>
      </c>
      <c r="D43" s="49" t="s">
        <v>50</v>
      </c>
      <c r="E43" s="36">
        <v>189</v>
      </c>
      <c r="F43" s="35" t="s">
        <v>119</v>
      </c>
      <c r="G43" s="8"/>
      <c r="H43" s="8"/>
      <c r="I43" s="8"/>
      <c r="J43" s="8"/>
      <c r="K43" s="8"/>
      <c r="M43" s="8"/>
      <c r="N43" s="8"/>
      <c r="O43" s="8"/>
      <c r="P43" s="8"/>
      <c r="Q43" s="8"/>
      <c r="R43" s="8"/>
      <c r="S43" s="8"/>
      <c r="T43" s="8"/>
      <c r="U43" s="8"/>
    </row>
    <row r="44" spans="1:21" x14ac:dyDescent="0.35">
      <c r="A44" s="10"/>
      <c r="B44" s="35" t="str">
        <f>IFERROR(
IF(AmazonSales!E:E&lt;&gt;"","Cancelled",
IF(AmazonSales!C:C="","No Delivery Date",
IF(AmazonSales!C:C&lt;AmazonSales!B:B,"Check Dates",
IF(AmazonSales!C:C-AmazonSales!B:B&lt;=2,"Fast","Slow")
)
)
),
)</f>
        <v>Cancelled</v>
      </c>
      <c r="C44" s="35" t="s">
        <v>18</v>
      </c>
      <c r="D44" s="49" t="s">
        <v>50</v>
      </c>
      <c r="E44" s="36">
        <v>108</v>
      </c>
      <c r="F44" s="35" t="s">
        <v>49</v>
      </c>
      <c r="G44" s="8"/>
      <c r="H44" s="8"/>
      <c r="I44" s="8"/>
      <c r="J44" s="8"/>
      <c r="K44" s="8"/>
      <c r="M44" s="8"/>
      <c r="N44" s="8"/>
      <c r="O44" s="8"/>
      <c r="P44" s="8"/>
      <c r="Q44" s="8"/>
      <c r="R44" s="8"/>
      <c r="S44" s="8"/>
      <c r="T44" s="8"/>
      <c r="U44" s="8"/>
    </row>
    <row r="45" spans="1:21" x14ac:dyDescent="0.35">
      <c r="A45" s="10"/>
      <c r="B45" s="35" t="str">
        <f>IFERROR(
IF(AmazonSales!E:E&lt;&gt;"","Cancelled",
IF(AmazonSales!C:C="","No Delivery Date",
IF(AmazonSales!C:C&lt;AmazonSales!B:B,"Check Dates",
IF(AmazonSales!C:C-AmazonSales!B:B&lt;=2,"Fast","Slow")
)
)
),
)</f>
        <v>Cancelled</v>
      </c>
      <c r="C45" s="35" t="s">
        <v>18</v>
      </c>
      <c r="D45" s="49" t="s">
        <v>45</v>
      </c>
      <c r="E45" s="36">
        <v>62</v>
      </c>
      <c r="F45" s="35" t="s">
        <v>119</v>
      </c>
      <c r="G45" s="8"/>
      <c r="H45" s="8"/>
      <c r="I45" s="8"/>
      <c r="J45" s="8"/>
      <c r="K45" s="8"/>
      <c r="M45" s="8"/>
      <c r="N45" s="8"/>
      <c r="O45" s="8"/>
      <c r="P45" s="8"/>
      <c r="Q45" s="8"/>
      <c r="R45" s="8"/>
      <c r="S45" s="8"/>
      <c r="T45" s="8"/>
      <c r="U45" s="8"/>
    </row>
    <row r="46" spans="1:21" x14ac:dyDescent="0.35">
      <c r="A46" s="10"/>
      <c r="B46" s="35" t="str">
        <f>IFERROR(
IF(AmazonSales!E:E&lt;&gt;"","Cancelled",
IF(AmazonSales!C:C="","No Delivery Date",
IF(AmazonSales!C:C&lt;AmazonSales!B:B,"Check Dates",
IF(AmazonSales!C:C-AmazonSales!B:B&lt;=2,"Fast","Slow")
)
)
),
)</f>
        <v>Cancelled</v>
      </c>
      <c r="C46" s="35" t="s">
        <v>18</v>
      </c>
      <c r="D46" s="49" t="s">
        <v>45</v>
      </c>
      <c r="E46" s="36">
        <v>685</v>
      </c>
      <c r="F46" s="35" t="s">
        <v>55</v>
      </c>
      <c r="G46" s="8"/>
      <c r="H46" s="8"/>
      <c r="I46" s="8"/>
      <c r="J46" s="8"/>
      <c r="K46" s="8"/>
      <c r="M46" s="8"/>
      <c r="N46" s="8"/>
      <c r="O46" s="8"/>
      <c r="P46" s="8"/>
      <c r="Q46" s="8"/>
      <c r="R46" s="8"/>
      <c r="S46" s="8"/>
      <c r="T46" s="8"/>
      <c r="U46" s="8"/>
    </row>
    <row r="47" spans="1:21" x14ac:dyDescent="0.35">
      <c r="A47" s="10"/>
      <c r="B47" s="35" t="str">
        <f>IFERROR(
IF(AmazonSales!E:E&lt;&gt;"","Cancelled",
IF(AmazonSales!C:C="","No Delivery Date",
IF(AmazonSales!C:C&lt;AmazonSales!B:B,"Check Dates",
IF(AmazonSales!C:C-AmazonSales!B:B&lt;=2,"Fast","Slow")
)
)
),
)</f>
        <v>Slow</v>
      </c>
      <c r="C47" s="35" t="s">
        <v>25</v>
      </c>
      <c r="D47" s="49" t="s">
        <v>16</v>
      </c>
      <c r="E47" s="36">
        <v>292</v>
      </c>
      <c r="F47" s="35" t="s">
        <v>67</v>
      </c>
      <c r="G47" s="8"/>
      <c r="H47" s="8"/>
      <c r="I47" s="8"/>
      <c r="J47" s="8"/>
      <c r="K47" s="8"/>
      <c r="M47" s="8"/>
      <c r="N47" s="8"/>
      <c r="O47" s="8"/>
      <c r="P47" s="8"/>
      <c r="Q47" s="8"/>
      <c r="R47" s="8"/>
      <c r="S47" s="8"/>
      <c r="T47" s="8"/>
      <c r="U47" s="8"/>
    </row>
    <row r="48" spans="1:21" x14ac:dyDescent="0.35">
      <c r="A48" s="10"/>
      <c r="B48" s="35" t="str">
        <f>IFERROR(
IF(AmazonSales!E:E&lt;&gt;"","Cancelled",
IF(AmazonSales!C:C="","No Delivery Date",
IF(AmazonSales!C:C&lt;AmazonSales!B:B,"Check Dates",
IF(AmazonSales!C:C-AmazonSales!B:B&lt;=2,"Fast","Slow")
)
)
),
)</f>
        <v>Fast</v>
      </c>
      <c r="C48" s="35" t="s">
        <v>25</v>
      </c>
      <c r="D48" s="49" t="s">
        <v>16</v>
      </c>
      <c r="E48" s="36">
        <v>104</v>
      </c>
      <c r="F48" s="35" t="s">
        <v>44</v>
      </c>
      <c r="G48" s="8"/>
      <c r="H48" s="8"/>
      <c r="I48" s="8"/>
      <c r="J48" s="8"/>
      <c r="K48" s="8"/>
      <c r="M48" s="8"/>
      <c r="N48" s="8"/>
      <c r="O48" s="8"/>
      <c r="P48" s="8"/>
      <c r="Q48" s="8"/>
      <c r="R48" s="8"/>
      <c r="S48" s="8"/>
      <c r="T48" s="8"/>
      <c r="U48" s="8"/>
    </row>
    <row r="49" spans="1:21" x14ac:dyDescent="0.35">
      <c r="A49" s="10"/>
      <c r="B49" s="35" t="str">
        <f>IFERROR(
IF(AmazonSales!E:E&lt;&gt;"","Cancelled",
IF(AmazonSales!C:C="","No Delivery Date",
IF(AmazonSales!C:C&lt;AmazonSales!B:B,"Check Dates",
IF(AmazonSales!C:C-AmazonSales!B:B&lt;=2,"Fast","Slow")
)
)
),
)</f>
        <v>Slow</v>
      </c>
      <c r="C49" s="35" t="s">
        <v>25</v>
      </c>
      <c r="D49" s="49" t="s">
        <v>23</v>
      </c>
      <c r="E49" s="36">
        <v>97</v>
      </c>
      <c r="F49" s="35" t="s">
        <v>64</v>
      </c>
      <c r="G49" s="8"/>
      <c r="H49" s="8"/>
      <c r="I49" s="8"/>
      <c r="J49" s="8"/>
      <c r="K49" s="8"/>
      <c r="M49" s="8"/>
      <c r="N49" s="8"/>
      <c r="O49" s="8"/>
      <c r="P49" s="8"/>
      <c r="Q49" s="8"/>
      <c r="R49" s="8"/>
      <c r="S49" s="8"/>
      <c r="T49" s="8"/>
      <c r="U49" s="8"/>
    </row>
    <row r="50" spans="1:21" x14ac:dyDescent="0.35">
      <c r="A50" s="10"/>
      <c r="B50" s="35" t="str">
        <f>IFERROR(
IF(AmazonSales!E:E&lt;&gt;"","Cancelled",
IF(AmazonSales!C:C="","No Delivery Date",
IF(AmazonSales!C:C&lt;AmazonSales!B:B,"Check Dates",
IF(AmazonSales!C:C-AmazonSales!B:B&lt;=2,"Fast","Slow")
)
)
),
)</f>
        <v>No Delivery Date</v>
      </c>
      <c r="C50" s="35" t="s">
        <v>29</v>
      </c>
      <c r="D50" s="49" t="s">
        <v>28</v>
      </c>
      <c r="E50" s="36">
        <v>365</v>
      </c>
      <c r="F50" s="35" t="s">
        <v>67</v>
      </c>
      <c r="G50" s="8"/>
      <c r="H50" s="8"/>
      <c r="I50" s="8"/>
      <c r="J50" s="8"/>
      <c r="K50" s="8"/>
      <c r="M50" s="8"/>
      <c r="N50" s="8"/>
      <c r="O50" s="8"/>
      <c r="P50" s="8"/>
      <c r="Q50" s="8"/>
      <c r="R50" s="8"/>
      <c r="S50" s="8"/>
      <c r="T50" s="8"/>
      <c r="U50" s="8"/>
    </row>
    <row r="51" spans="1:21" x14ac:dyDescent="0.35">
      <c r="A51" s="10"/>
      <c r="B51" s="35" t="str">
        <f>IFERROR(
IF(AmazonSales!E:E&lt;&gt;"","Cancelled",
IF(AmazonSales!C:C="","No Delivery Date",
IF(AmazonSales!C:C&lt;AmazonSales!B:B,"Check Dates",
IF(AmazonSales!C:C-AmazonSales!B:B&lt;=2,"Fast","Slow")
)
)
),
)</f>
        <v>Slow</v>
      </c>
      <c r="C51" s="35" t="s">
        <v>25</v>
      </c>
      <c r="D51" s="49" t="s">
        <v>23</v>
      </c>
      <c r="E51" s="36">
        <v>81</v>
      </c>
      <c r="F51" s="35" t="s">
        <v>69</v>
      </c>
      <c r="G51" s="8"/>
      <c r="H51" s="8"/>
      <c r="I51" s="8"/>
      <c r="J51" s="8"/>
      <c r="K51" s="8"/>
      <c r="M51" s="8"/>
      <c r="N51" s="8"/>
      <c r="O51" s="8"/>
      <c r="P51" s="8"/>
      <c r="Q51" s="8"/>
      <c r="R51" s="8"/>
      <c r="S51" s="8"/>
      <c r="T51" s="8"/>
      <c r="U51" s="8"/>
    </row>
    <row r="52" spans="1:21" x14ac:dyDescent="0.35">
      <c r="A52" s="10"/>
      <c r="B52" s="35" t="str">
        <f>IFERROR(
IF(AmazonSales!E:E&lt;&gt;"","Cancelled",
IF(AmazonSales!C:C="","No Delivery Date",
IF(AmazonSales!C:C&lt;AmazonSales!B:B,"Check Dates",
IF(AmazonSales!C:C-AmazonSales!B:B&lt;=2,"Fast","Slow")
)
)
),
)</f>
        <v>No Delivery Date</v>
      </c>
      <c r="C52" s="35" t="s">
        <v>29</v>
      </c>
      <c r="D52" s="49" t="s">
        <v>16</v>
      </c>
      <c r="E52" s="36">
        <v>37</v>
      </c>
      <c r="F52" s="35" t="s">
        <v>49</v>
      </c>
      <c r="G52" s="8"/>
      <c r="H52" s="8"/>
      <c r="I52" s="8"/>
      <c r="J52" s="8"/>
      <c r="K52" s="8"/>
      <c r="M52" s="8"/>
      <c r="N52" s="8"/>
      <c r="O52" s="8"/>
      <c r="P52" s="8"/>
      <c r="Q52" s="8"/>
      <c r="R52" s="8"/>
      <c r="S52" s="8"/>
      <c r="T52" s="8"/>
      <c r="U52" s="8"/>
    </row>
    <row r="53" spans="1:21" x14ac:dyDescent="0.35">
      <c r="A53" s="10"/>
      <c r="B53" s="35" t="str">
        <f>IFERROR(
IF(AmazonSales!E:E&lt;&gt;"","Cancelled",
IF(AmazonSales!C:C="","No Delivery Date",
IF(AmazonSales!C:C&lt;AmazonSales!B:B,"Check Dates",
IF(AmazonSales!C:C-AmazonSales!B:B&lt;=2,"Fast","Slow")
)
)
),
)</f>
        <v>Fast</v>
      </c>
      <c r="C53" s="35" t="s">
        <v>25</v>
      </c>
      <c r="D53" s="49" t="s">
        <v>16</v>
      </c>
      <c r="E53" s="36">
        <v>22</v>
      </c>
      <c r="F53" s="35" t="s">
        <v>73</v>
      </c>
      <c r="G53" s="8"/>
      <c r="H53" s="8"/>
      <c r="I53" s="8"/>
      <c r="J53" s="8"/>
      <c r="K53" s="8"/>
      <c r="M53" s="8"/>
      <c r="N53" s="8"/>
      <c r="O53" s="8"/>
      <c r="P53" s="8"/>
      <c r="Q53" s="8"/>
      <c r="R53" s="8"/>
      <c r="S53" s="8"/>
      <c r="T53" s="8"/>
      <c r="U53" s="8"/>
    </row>
    <row r="54" spans="1:21" x14ac:dyDescent="0.35">
      <c r="A54" s="10"/>
      <c r="B54" s="35" t="str">
        <f>IFERROR(
IF(AmazonSales!E:E&lt;&gt;"","Cancelled",
IF(AmazonSales!C:C="","No Delivery Date",
IF(AmazonSales!C:C&lt;AmazonSales!B:B,"Check Dates",
IF(AmazonSales!C:C-AmazonSales!B:B&lt;=2,"Fast","Slow")
)
)
),
)</f>
        <v>Slow</v>
      </c>
      <c r="C54" s="35" t="s">
        <v>25</v>
      </c>
      <c r="D54" s="49" t="s">
        <v>45</v>
      </c>
      <c r="E54" s="36">
        <v>1090</v>
      </c>
      <c r="F54" s="35" t="s">
        <v>111</v>
      </c>
      <c r="G54" s="8"/>
      <c r="H54" s="8"/>
      <c r="I54" s="8"/>
      <c r="J54" s="8"/>
      <c r="K54" s="8"/>
      <c r="M54" s="8"/>
      <c r="N54" s="8"/>
      <c r="O54" s="8"/>
      <c r="P54" s="8"/>
      <c r="Q54" s="8"/>
      <c r="R54" s="8"/>
      <c r="S54" s="8"/>
      <c r="T54" s="8"/>
      <c r="U54" s="8"/>
    </row>
    <row r="55" spans="1:21" x14ac:dyDescent="0.35">
      <c r="A55" s="10"/>
      <c r="B55" s="35" t="str">
        <f>IFERROR(
IF(AmazonSales!E:E&lt;&gt;"","Cancelled",
IF(AmazonSales!C:C="","No Delivery Date",
IF(AmazonSales!C:C&lt;AmazonSales!B:B,"Check Dates",
IF(AmazonSales!C:C-AmazonSales!B:B&lt;=2,"Fast","Slow")
)
)
),
)</f>
        <v>Cancelled</v>
      </c>
      <c r="C55" s="35" t="s">
        <v>18</v>
      </c>
      <c r="D55" s="49" t="s">
        <v>16</v>
      </c>
      <c r="E55" s="36">
        <v>64</v>
      </c>
      <c r="F55" s="35" t="s">
        <v>119</v>
      </c>
      <c r="G55" s="8"/>
      <c r="H55" s="8"/>
      <c r="I55" s="8"/>
      <c r="J55" s="8"/>
      <c r="K55" s="8"/>
      <c r="M55" s="8"/>
      <c r="N55" s="8"/>
      <c r="O55" s="8"/>
      <c r="P55" s="8"/>
      <c r="Q55" s="8"/>
      <c r="R55" s="8"/>
      <c r="S55" s="8"/>
      <c r="T55" s="8"/>
      <c r="U55" s="8"/>
    </row>
    <row r="56" spans="1:21" x14ac:dyDescent="0.35">
      <c r="A56" s="10"/>
      <c r="B56" s="35" t="str">
        <f>IFERROR(
IF(AmazonSales!E:E&lt;&gt;"","Cancelled",
IF(AmazonSales!C:C="","No Delivery Date",
IF(AmazonSales!C:C&lt;AmazonSales!B:B,"Check Dates",
IF(AmazonSales!C:C-AmazonSales!B:B&lt;=2,"Fast","Slow")
)
)
),
)</f>
        <v>Slow</v>
      </c>
      <c r="C56" s="35" t="s">
        <v>25</v>
      </c>
      <c r="D56" s="49" t="s">
        <v>45</v>
      </c>
      <c r="E56" s="36">
        <v>144</v>
      </c>
      <c r="F56" s="35" t="s">
        <v>49</v>
      </c>
      <c r="G56" s="8"/>
      <c r="H56" s="8"/>
      <c r="I56" s="8"/>
      <c r="J56" s="8"/>
      <c r="K56" s="8"/>
      <c r="M56" s="8"/>
      <c r="N56" s="8"/>
      <c r="O56" s="8"/>
      <c r="P56" s="8"/>
      <c r="Q56" s="8"/>
      <c r="R56" s="8"/>
      <c r="S56" s="8"/>
      <c r="T56" s="8"/>
      <c r="U56" s="8"/>
    </row>
    <row r="57" spans="1:21" x14ac:dyDescent="0.35">
      <c r="A57" s="10"/>
      <c r="B57" s="35" t="str">
        <f>IFERROR(
IF(AmazonSales!E:E&lt;&gt;"","Cancelled",
IF(AmazonSales!C:C="","No Delivery Date",
IF(AmazonSales!C:C&lt;AmazonSales!B:B,"Check Dates",
IF(AmazonSales!C:C-AmazonSales!B:B&lt;=2,"Fast","Slow")
)
)
),
)</f>
        <v>Slow</v>
      </c>
      <c r="C57" s="35" t="s">
        <v>25</v>
      </c>
      <c r="D57" s="49" t="s">
        <v>50</v>
      </c>
      <c r="E57" s="36">
        <v>65</v>
      </c>
      <c r="F57" s="35" t="s">
        <v>119</v>
      </c>
      <c r="G57" s="8"/>
      <c r="H57" s="8"/>
      <c r="I57" s="8"/>
      <c r="J57" s="8"/>
      <c r="K57" s="8"/>
      <c r="M57" s="8"/>
      <c r="N57" s="8"/>
      <c r="O57" s="8"/>
      <c r="P57" s="8"/>
      <c r="Q57" s="8"/>
      <c r="R57" s="8"/>
      <c r="S57" s="8"/>
      <c r="T57" s="8"/>
      <c r="U57" s="8"/>
    </row>
    <row r="58" spans="1:21" x14ac:dyDescent="0.35">
      <c r="A58" s="10"/>
      <c r="B58" s="35" t="str">
        <f>IFERROR(
IF(AmazonSales!E:E&lt;&gt;"","Cancelled",
IF(AmazonSales!C:C="","No Delivery Date",
IF(AmazonSales!C:C&lt;AmazonSales!B:B,"Check Dates",
IF(AmazonSales!C:C-AmazonSales!B:B&lt;=2,"Fast","Slow")
)
)
),
)</f>
        <v>Fast</v>
      </c>
      <c r="C58" s="35" t="s">
        <v>25</v>
      </c>
      <c r="D58" s="49" t="s">
        <v>45</v>
      </c>
      <c r="E58" s="36">
        <v>26</v>
      </c>
      <c r="F58" s="35" t="s">
        <v>69</v>
      </c>
      <c r="G58" s="8"/>
      <c r="H58" s="8"/>
      <c r="I58" s="8"/>
      <c r="J58" s="8"/>
      <c r="K58" s="8"/>
      <c r="M58" s="8"/>
      <c r="N58" s="8"/>
      <c r="O58" s="8"/>
      <c r="P58" s="8"/>
      <c r="Q58" s="8"/>
      <c r="R58" s="8"/>
      <c r="S58" s="8"/>
      <c r="T58" s="8"/>
      <c r="U58" s="8"/>
    </row>
    <row r="59" spans="1:21" x14ac:dyDescent="0.35">
      <c r="A59" s="10"/>
      <c r="B59" s="35" t="str">
        <f>IFERROR(
IF(AmazonSales!E:E&lt;&gt;"","Cancelled",
IF(AmazonSales!C:C="","No Delivery Date",
IF(AmazonSales!C:C&lt;AmazonSales!B:B,"Check Dates",
IF(AmazonSales!C:C-AmazonSales!B:B&lt;=2,"Fast","Slow")
)
)
),
)</f>
        <v>No Delivery Date</v>
      </c>
      <c r="C59" s="35" t="s">
        <v>29</v>
      </c>
      <c r="D59" s="49" t="s">
        <v>16</v>
      </c>
      <c r="E59" s="36">
        <v>55</v>
      </c>
      <c r="F59" s="35" t="s">
        <v>104</v>
      </c>
      <c r="G59" s="8"/>
      <c r="H59" s="8"/>
      <c r="I59" s="8"/>
      <c r="J59" s="8"/>
      <c r="K59" s="8"/>
      <c r="M59" s="8"/>
      <c r="N59" s="8"/>
      <c r="O59" s="8"/>
      <c r="P59" s="8"/>
      <c r="Q59" s="8"/>
      <c r="R59" s="8"/>
      <c r="S59" s="8"/>
      <c r="T59" s="8"/>
      <c r="U59" s="8"/>
    </row>
    <row r="60" spans="1:21" x14ac:dyDescent="0.35">
      <c r="A60" s="10"/>
      <c r="B60" s="35" t="str">
        <f>IFERROR(
IF(AmazonSales!E:E&lt;&gt;"","Cancelled",
IF(AmazonSales!C:C="","No Delivery Date",
IF(AmazonSales!C:C&lt;AmazonSales!B:B,"Check Dates",
IF(AmazonSales!C:C-AmazonSales!B:B&lt;=2,"Fast","Slow")
)
)
),
)</f>
        <v>Cancelled</v>
      </c>
      <c r="C60" s="35" t="s">
        <v>18</v>
      </c>
      <c r="D60" s="49" t="s">
        <v>16</v>
      </c>
      <c r="E60" s="36">
        <v>780</v>
      </c>
      <c r="F60" s="35" t="s">
        <v>27</v>
      </c>
      <c r="G60" s="8"/>
      <c r="H60" s="8"/>
      <c r="I60" s="8"/>
      <c r="J60" s="8"/>
      <c r="K60" s="8"/>
      <c r="M60" s="8"/>
      <c r="N60" s="8"/>
      <c r="O60" s="8"/>
      <c r="P60" s="8"/>
      <c r="Q60" s="8"/>
      <c r="R60" s="8"/>
      <c r="S60" s="8"/>
      <c r="T60" s="8"/>
      <c r="U60" s="8"/>
    </row>
    <row r="61" spans="1:21" x14ac:dyDescent="0.35">
      <c r="A61" s="10"/>
      <c r="B61" s="35" t="str">
        <f>IFERROR(
IF(AmazonSales!E:E&lt;&gt;"","Cancelled",
IF(AmazonSales!C:C="","No Delivery Date",
IF(AmazonSales!C:C&lt;AmazonSales!B:B,"Check Dates",
IF(AmazonSales!C:C-AmazonSales!B:B&lt;=2,"Fast","Slow")
)
)
),
)</f>
        <v>Cancelled</v>
      </c>
      <c r="C61" s="35" t="s">
        <v>18</v>
      </c>
      <c r="D61" s="49" t="s">
        <v>50</v>
      </c>
      <c r="E61" s="36">
        <v>220</v>
      </c>
      <c r="F61" s="35" t="s">
        <v>53</v>
      </c>
      <c r="G61" s="8"/>
      <c r="H61" s="8"/>
      <c r="I61" s="8"/>
      <c r="J61" s="8"/>
      <c r="K61" s="8"/>
      <c r="M61" s="8"/>
      <c r="N61" s="8"/>
      <c r="O61" s="8"/>
      <c r="P61" s="8"/>
      <c r="Q61" s="8"/>
      <c r="R61" s="8"/>
      <c r="S61" s="8"/>
      <c r="T61" s="8"/>
      <c r="U61" s="8"/>
    </row>
    <row r="62" spans="1:21" x14ac:dyDescent="0.35">
      <c r="A62" s="10"/>
      <c r="B62" s="35" t="str">
        <f>IFERROR(
IF(AmazonSales!E:E&lt;&gt;"","Cancelled",
IF(AmazonSales!C:C="","No Delivery Date",
IF(AmazonSales!C:C&lt;AmazonSales!B:B,"Check Dates",
IF(AmazonSales!C:C-AmazonSales!B:B&lt;=2,"Fast","Slow")
)
)
),
)</f>
        <v>No Delivery Date</v>
      </c>
      <c r="C62" s="35" t="s">
        <v>29</v>
      </c>
      <c r="D62" s="49" t="s">
        <v>23</v>
      </c>
      <c r="E62" s="36">
        <v>276</v>
      </c>
      <c r="F62" s="35" t="s">
        <v>76</v>
      </c>
      <c r="G62" s="8"/>
      <c r="H62" s="8"/>
      <c r="I62" s="8"/>
      <c r="J62" s="8"/>
      <c r="K62" s="8"/>
      <c r="M62" s="8"/>
      <c r="N62" s="8"/>
      <c r="O62" s="8"/>
      <c r="P62" s="8"/>
      <c r="Q62" s="8"/>
      <c r="R62" s="8"/>
      <c r="S62" s="8"/>
      <c r="T62" s="8"/>
      <c r="U62" s="8"/>
    </row>
    <row r="63" spans="1:21" x14ac:dyDescent="0.35">
      <c r="A63" s="10"/>
      <c r="B63" s="35" t="str">
        <f>IFERROR(
IF(AmazonSales!E:E&lt;&gt;"","Cancelled",
IF(AmazonSales!C:C="","No Delivery Date",
IF(AmazonSales!C:C&lt;AmazonSales!B:B,"Check Dates",
IF(AmazonSales!C:C-AmazonSales!B:B&lt;=2,"Fast","Slow")
)
)
),
)</f>
        <v>Slow</v>
      </c>
      <c r="C63" s="35" t="s">
        <v>25</v>
      </c>
      <c r="D63" s="49" t="s">
        <v>16</v>
      </c>
      <c r="E63" s="36">
        <v>3260</v>
      </c>
      <c r="F63" s="35" t="s">
        <v>81</v>
      </c>
      <c r="G63" s="8"/>
      <c r="H63" s="8"/>
      <c r="I63" s="8"/>
      <c r="J63" s="8"/>
      <c r="K63" s="8"/>
      <c r="M63" s="8"/>
      <c r="N63" s="8"/>
      <c r="O63" s="8"/>
      <c r="P63" s="8"/>
      <c r="Q63" s="8"/>
      <c r="R63" s="8"/>
      <c r="S63" s="8"/>
      <c r="T63" s="8"/>
      <c r="U63" s="8"/>
    </row>
    <row r="64" spans="1:21" x14ac:dyDescent="0.35">
      <c r="A64" s="10"/>
      <c r="B64" s="35" t="str">
        <f>IFERROR(
IF(AmazonSales!E:E&lt;&gt;"","Cancelled",
IF(AmazonSales!C:C="","No Delivery Date",
IF(AmazonSales!C:C&lt;AmazonSales!B:B,"Check Dates",
IF(AmazonSales!C:C-AmazonSales!B:B&lt;=2,"Fast","Slow")
)
)
),
)</f>
        <v>No Delivery Date</v>
      </c>
      <c r="C64" s="35" t="s">
        <v>29</v>
      </c>
      <c r="D64" s="49" t="s">
        <v>23</v>
      </c>
      <c r="E64" s="36">
        <v>27</v>
      </c>
      <c r="F64" s="35" t="s">
        <v>69</v>
      </c>
      <c r="G64" s="8"/>
      <c r="H64" s="8"/>
      <c r="I64" s="8"/>
      <c r="J64" s="8"/>
      <c r="K64" s="8"/>
      <c r="M64" s="8"/>
      <c r="N64" s="8"/>
      <c r="O64" s="8"/>
      <c r="P64" s="8"/>
      <c r="Q64" s="8"/>
      <c r="R64" s="8"/>
      <c r="S64" s="8"/>
      <c r="T64" s="8"/>
      <c r="U64" s="8"/>
    </row>
    <row r="65" spans="1:21" x14ac:dyDescent="0.35">
      <c r="A65" s="10"/>
      <c r="B65" s="35" t="str">
        <f>IFERROR(
IF(AmazonSales!E:E&lt;&gt;"","Cancelled",
IF(AmazonSales!C:C="","No Delivery Date",
IF(AmazonSales!C:C&lt;AmazonSales!B:B,"Check Dates",
IF(AmazonSales!C:C-AmazonSales!B:B&lt;=2,"Fast","Slow")
)
)
),
)</f>
        <v>Slow</v>
      </c>
      <c r="C65" s="35" t="s">
        <v>25</v>
      </c>
      <c r="D65" s="49" t="s">
        <v>50</v>
      </c>
      <c r="E65" s="36">
        <v>695</v>
      </c>
      <c r="F65" s="35" t="s">
        <v>55</v>
      </c>
      <c r="G65" s="8"/>
      <c r="H65" s="8"/>
      <c r="I65" s="8"/>
      <c r="J65" s="8"/>
      <c r="K65" s="8"/>
      <c r="M65" s="8"/>
      <c r="N65" s="8"/>
      <c r="O65" s="8"/>
      <c r="P65" s="8"/>
      <c r="Q65" s="8"/>
      <c r="R65" s="8"/>
      <c r="S65" s="8"/>
      <c r="T65" s="8"/>
      <c r="U65" s="8"/>
    </row>
    <row r="66" spans="1:21" x14ac:dyDescent="0.35">
      <c r="A66" s="10"/>
      <c r="B66" s="35" t="str">
        <f>IFERROR(
IF(AmazonSales!E:E&lt;&gt;"","Cancelled",
IF(AmazonSales!C:C="","No Delivery Date",
IF(AmazonSales!C:C&lt;AmazonSales!B:B,"Check Dates",
IF(AmazonSales!C:C-AmazonSales!B:B&lt;=2,"Fast","Slow")
)
)
),
)</f>
        <v>Cancelled</v>
      </c>
      <c r="C66" s="35" t="s">
        <v>18</v>
      </c>
      <c r="D66" s="49" t="s">
        <v>28</v>
      </c>
      <c r="E66" s="36">
        <v>207</v>
      </c>
      <c r="F66" s="35" t="s">
        <v>76</v>
      </c>
      <c r="G66" s="8"/>
      <c r="H66" s="8"/>
      <c r="I66" s="8"/>
      <c r="J66" s="8"/>
      <c r="K66" s="8"/>
      <c r="M66" s="8"/>
      <c r="N66" s="8"/>
      <c r="O66" s="8"/>
      <c r="P66" s="8"/>
      <c r="Q66" s="8"/>
      <c r="R66" s="8"/>
      <c r="S66" s="8"/>
      <c r="T66" s="8"/>
      <c r="U66" s="8"/>
    </row>
    <row r="67" spans="1:21" x14ac:dyDescent="0.35">
      <c r="A67" s="10"/>
      <c r="B67" s="35" t="str">
        <f>IFERROR(
IF(AmazonSales!E:E&lt;&gt;"","Cancelled",
IF(AmazonSales!C:C="","No Delivery Date",
IF(AmazonSales!C:C&lt;AmazonSales!B:B,"Check Dates",
IF(AmazonSales!C:C-AmazonSales!B:B&lt;=2,"Fast","Slow")
)
)
),
)</f>
        <v>Cancelled</v>
      </c>
      <c r="C67" s="35" t="s">
        <v>18</v>
      </c>
      <c r="D67" s="49" t="s">
        <v>50</v>
      </c>
      <c r="E67" s="36">
        <v>42</v>
      </c>
      <c r="F67" s="35" t="s">
        <v>53</v>
      </c>
      <c r="G67" s="8"/>
      <c r="H67" s="8"/>
      <c r="I67" s="8"/>
      <c r="J67" s="8"/>
      <c r="K67" s="8"/>
      <c r="M67" s="8"/>
      <c r="N67" s="8"/>
      <c r="O67" s="8"/>
      <c r="P67" s="8"/>
      <c r="Q67" s="8"/>
      <c r="R67" s="8"/>
      <c r="S67" s="8"/>
      <c r="T67" s="8"/>
      <c r="U67" s="8"/>
    </row>
    <row r="68" spans="1:21" x14ac:dyDescent="0.35">
      <c r="A68" s="10"/>
      <c r="B68" s="35" t="str">
        <f>IFERROR(
IF(AmazonSales!E:E&lt;&gt;"","Cancelled",
IF(AmazonSales!C:C="","No Delivery Date",
IF(AmazonSales!C:C&lt;AmazonSales!B:B,"Check Dates",
IF(AmazonSales!C:C-AmazonSales!B:B&lt;=2,"Fast","Slow")
)
)
),
)</f>
        <v>Fast</v>
      </c>
      <c r="C68" s="35" t="s">
        <v>25</v>
      </c>
      <c r="D68" s="49" t="s">
        <v>16</v>
      </c>
      <c r="E68" s="36">
        <v>124</v>
      </c>
      <c r="F68" s="35" t="s">
        <v>114</v>
      </c>
      <c r="G68" s="8"/>
      <c r="H68" s="8"/>
      <c r="I68" s="8"/>
      <c r="J68" s="8"/>
      <c r="K68" s="8"/>
      <c r="M68" s="8"/>
      <c r="N68" s="8"/>
      <c r="O68" s="8"/>
      <c r="P68" s="8"/>
      <c r="Q68" s="8"/>
      <c r="R68" s="8"/>
      <c r="S68" s="8"/>
      <c r="T68" s="8"/>
      <c r="U68" s="8"/>
    </row>
    <row r="69" spans="1:21" x14ac:dyDescent="0.35">
      <c r="A69" s="10"/>
      <c r="B69" s="35" t="str">
        <f>IFERROR(
IF(AmazonSales!E:E&lt;&gt;"","Cancelled",
IF(AmazonSales!C:C="","No Delivery Date",
IF(AmazonSales!C:C&lt;AmazonSales!B:B,"Check Dates",
IF(AmazonSales!C:C-AmazonSales!B:B&lt;=2,"Fast","Slow")
)
)
),
)</f>
        <v>No Delivery Date</v>
      </c>
      <c r="C69" s="35" t="s">
        <v>29</v>
      </c>
      <c r="D69" s="49" t="s">
        <v>50</v>
      </c>
      <c r="E69" s="36">
        <v>312</v>
      </c>
      <c r="F69" s="35" t="s">
        <v>44</v>
      </c>
      <c r="G69" s="8"/>
      <c r="H69" s="8"/>
      <c r="I69" s="8"/>
      <c r="J69" s="8"/>
      <c r="K69" s="8"/>
      <c r="M69" s="8"/>
      <c r="N69" s="8"/>
      <c r="O69" s="8"/>
      <c r="P69" s="8"/>
      <c r="Q69" s="8"/>
      <c r="R69" s="8"/>
      <c r="S69" s="8"/>
      <c r="T69" s="8"/>
      <c r="U69" s="8"/>
    </row>
    <row r="70" spans="1:21" x14ac:dyDescent="0.35">
      <c r="A70" s="10"/>
      <c r="B70" s="35" t="str">
        <f>IFERROR(
IF(AmazonSales!E:E&lt;&gt;"","Cancelled",
IF(AmazonSales!C:C="","No Delivery Date",
IF(AmazonSales!C:C&lt;AmazonSales!B:B,"Check Dates",
IF(AmazonSales!C:C-AmazonSales!B:B&lt;=2,"Fast","Slow")
)
)
),
)</f>
        <v>Cancelled</v>
      </c>
      <c r="C70" s="35" t="s">
        <v>18</v>
      </c>
      <c r="D70" s="49" t="s">
        <v>23</v>
      </c>
      <c r="E70" s="36">
        <v>116</v>
      </c>
      <c r="F70" s="35" t="s">
        <v>37</v>
      </c>
      <c r="G70" s="8"/>
      <c r="H70" s="8"/>
      <c r="I70" s="8"/>
      <c r="J70" s="8"/>
      <c r="K70" s="8"/>
      <c r="M70" s="8"/>
      <c r="N70" s="8"/>
      <c r="O70" s="8"/>
      <c r="P70" s="8"/>
      <c r="Q70" s="8"/>
      <c r="R70" s="8"/>
      <c r="S70" s="8"/>
      <c r="T70" s="8"/>
      <c r="U70" s="8"/>
    </row>
    <row r="71" spans="1:21" x14ac:dyDescent="0.35">
      <c r="A71" s="10"/>
      <c r="B71" s="35" t="str">
        <f>IFERROR(
IF(AmazonSales!E:E&lt;&gt;"","Cancelled",
IF(AmazonSales!C:C="","No Delivery Date",
IF(AmazonSales!C:C&lt;AmazonSales!B:B,"Check Dates",
IF(AmazonSales!C:C-AmazonSales!B:B&lt;=2,"Fast","Slow")
)
)
),
)</f>
        <v>Cancelled</v>
      </c>
      <c r="C71" s="35" t="s">
        <v>18</v>
      </c>
      <c r="D71" s="49" t="s">
        <v>50</v>
      </c>
      <c r="E71" s="36">
        <v>124</v>
      </c>
      <c r="F71" s="35" t="s">
        <v>119</v>
      </c>
      <c r="G71" s="8"/>
      <c r="H71" s="8"/>
      <c r="I71" s="8"/>
      <c r="J71" s="8"/>
      <c r="K71" s="8"/>
      <c r="M71" s="8"/>
      <c r="N71" s="8"/>
      <c r="O71" s="8"/>
      <c r="P71" s="8"/>
      <c r="Q71" s="8"/>
      <c r="R71" s="8"/>
      <c r="S71" s="8"/>
      <c r="T71" s="8"/>
      <c r="U71" s="8"/>
    </row>
    <row r="72" spans="1:21" x14ac:dyDescent="0.35">
      <c r="A72" s="10"/>
      <c r="B72" s="35" t="str">
        <f>IFERROR(
IF(AmazonSales!E:E&lt;&gt;"","Cancelled",
IF(AmazonSales!C:C="","No Delivery Date",
IF(AmazonSales!C:C&lt;AmazonSales!B:B,"Check Dates",
IF(AmazonSales!C:C-AmazonSales!B:B&lt;=2,"Fast","Slow")
)
)
),
)</f>
        <v>Slow</v>
      </c>
      <c r="C72" s="35" t="s">
        <v>25</v>
      </c>
      <c r="D72" s="49" t="s">
        <v>23</v>
      </c>
      <c r="E72" s="36">
        <v>43</v>
      </c>
      <c r="F72" s="35" t="s">
        <v>53</v>
      </c>
      <c r="G72" s="8"/>
      <c r="H72" s="8"/>
      <c r="I72" s="8"/>
      <c r="J72" s="8"/>
      <c r="K72" s="8"/>
      <c r="M72" s="8"/>
      <c r="N72" s="8"/>
      <c r="O72" s="8"/>
      <c r="P72" s="8"/>
      <c r="Q72" s="8"/>
      <c r="R72" s="8"/>
      <c r="S72" s="8"/>
      <c r="T72" s="8"/>
      <c r="U72" s="8"/>
    </row>
    <row r="73" spans="1:21" x14ac:dyDescent="0.35">
      <c r="A73" s="10"/>
      <c r="B73" s="35" t="str">
        <f>IFERROR(
IF(AmazonSales!E:E&lt;&gt;"","Cancelled",
IF(AmazonSales!C:C="","No Delivery Date",
IF(AmazonSales!C:C&lt;AmazonSales!B:B,"Check Dates",
IF(AmazonSales!C:C-AmazonSales!B:B&lt;=2,"Fast","Slow")
)
)
),
)</f>
        <v>No Delivery Date</v>
      </c>
      <c r="C73" s="35" t="s">
        <v>29</v>
      </c>
      <c r="D73" s="49" t="s">
        <v>23</v>
      </c>
      <c r="E73" s="36">
        <v>248</v>
      </c>
      <c r="F73" s="35" t="s">
        <v>119</v>
      </c>
      <c r="G73" s="8"/>
      <c r="H73" s="8"/>
      <c r="I73" s="8"/>
      <c r="J73" s="8"/>
      <c r="K73" s="8"/>
      <c r="M73" s="8"/>
      <c r="N73" s="8"/>
      <c r="O73" s="8"/>
      <c r="P73" s="8"/>
      <c r="Q73" s="8"/>
      <c r="R73" s="8"/>
      <c r="S73" s="8"/>
      <c r="T73" s="8"/>
      <c r="U73" s="8"/>
    </row>
    <row r="74" spans="1:21" x14ac:dyDescent="0.35">
      <c r="A74" s="10"/>
      <c r="B74" s="35" t="str">
        <f>IFERROR(
IF(AmazonSales!E:E&lt;&gt;"","Cancelled",
IF(AmazonSales!C:C="","No Delivery Date",
IF(AmazonSales!C:C&lt;AmazonSales!B:B,"Check Dates",
IF(AmazonSales!C:C-AmazonSales!B:B&lt;=2,"Fast","Slow")
)
)
),
)</f>
        <v>Cancelled</v>
      </c>
      <c r="C74" s="35" t="s">
        <v>18</v>
      </c>
      <c r="D74" s="49" t="s">
        <v>16</v>
      </c>
      <c r="E74" s="36">
        <v>190</v>
      </c>
      <c r="F74" s="35" t="s">
        <v>64</v>
      </c>
      <c r="G74" s="8"/>
      <c r="H74" s="8"/>
      <c r="I74" s="8"/>
      <c r="J74" s="8"/>
      <c r="K74" s="8"/>
      <c r="M74" s="8"/>
      <c r="N74" s="8"/>
      <c r="O74" s="8"/>
      <c r="P74" s="8"/>
      <c r="Q74" s="8"/>
      <c r="R74" s="8"/>
      <c r="S74" s="8"/>
      <c r="T74" s="8"/>
      <c r="U74" s="8"/>
    </row>
    <row r="75" spans="1:21" x14ac:dyDescent="0.35">
      <c r="A75" s="10"/>
      <c r="B75" s="35" t="str">
        <f>IFERROR(
IF(AmazonSales!E:E&lt;&gt;"","Cancelled",
IF(AmazonSales!C:C="","No Delivery Date",
IF(AmazonSales!C:C&lt;AmazonSales!B:B,"Check Dates",
IF(AmazonSales!C:C-AmazonSales!B:B&lt;=2,"Fast","Slow")
)
)
),
)</f>
        <v>Slow</v>
      </c>
      <c r="C75" s="35" t="s">
        <v>25</v>
      </c>
      <c r="D75" s="49" t="s">
        <v>45</v>
      </c>
      <c r="E75" s="36">
        <v>144</v>
      </c>
      <c r="F75" s="35" t="s">
        <v>49</v>
      </c>
      <c r="G75" s="8"/>
      <c r="H75" s="8"/>
      <c r="I75" s="8"/>
      <c r="J75" s="8"/>
      <c r="K75" s="8"/>
      <c r="M75" s="8"/>
      <c r="N75" s="8"/>
      <c r="O75" s="8"/>
      <c r="P75" s="8"/>
      <c r="Q75" s="8"/>
      <c r="R75" s="8"/>
      <c r="S75" s="8"/>
      <c r="T75" s="8"/>
      <c r="U75" s="8"/>
    </row>
    <row r="76" spans="1:21" x14ac:dyDescent="0.35">
      <c r="A76" s="10"/>
      <c r="B76" s="35" t="str">
        <f>IFERROR(
IF(AmazonSales!E:E&lt;&gt;"","Cancelled",
IF(AmazonSales!C:C="","No Delivery Date",
IF(AmazonSales!C:C&lt;AmazonSales!B:B,"Check Dates",
IF(AmazonSales!C:C-AmazonSales!B:B&lt;=2,"Fast","Slow")
)
)
),
)</f>
        <v>No Delivery Date</v>
      </c>
      <c r="C76" s="35" t="s">
        <v>29</v>
      </c>
      <c r="D76" s="49" t="s">
        <v>23</v>
      </c>
      <c r="E76" s="36">
        <v>365</v>
      </c>
      <c r="F76" s="35" t="s">
        <v>67</v>
      </c>
      <c r="G76" s="8"/>
      <c r="H76" s="8"/>
      <c r="I76" s="8"/>
      <c r="J76" s="8"/>
      <c r="K76" s="8"/>
      <c r="M76" s="8"/>
      <c r="N76" s="8"/>
      <c r="O76" s="8"/>
      <c r="P76" s="8"/>
      <c r="Q76" s="8"/>
      <c r="R76" s="8"/>
      <c r="S76" s="8"/>
      <c r="T76" s="8"/>
      <c r="U76" s="8"/>
    </row>
    <row r="77" spans="1:21" x14ac:dyDescent="0.35">
      <c r="A77" s="10"/>
      <c r="B77" s="35" t="str">
        <f>IFERROR(
IF(AmazonSales!E:E&lt;&gt;"","Cancelled",
IF(AmazonSales!C:C="","No Delivery Date",
IF(AmazonSales!C:C&lt;AmazonSales!B:B,"Check Dates",
IF(AmazonSales!C:C-AmazonSales!B:B&lt;=2,"Fast","Slow")
)
)
),
)</f>
        <v>Slow</v>
      </c>
      <c r="C77" s="35" t="s">
        <v>25</v>
      </c>
      <c r="D77" s="49" t="s">
        <v>16</v>
      </c>
      <c r="E77" s="36">
        <v>172</v>
      </c>
      <c r="F77" s="35" t="s">
        <v>53</v>
      </c>
      <c r="G77" s="8"/>
      <c r="H77" s="8"/>
      <c r="I77" s="8"/>
      <c r="J77" s="8"/>
      <c r="K77" s="8"/>
      <c r="M77" s="8"/>
      <c r="N77" s="8"/>
      <c r="O77" s="8"/>
      <c r="P77" s="8"/>
      <c r="Q77" s="8"/>
      <c r="R77" s="8"/>
      <c r="S77" s="8"/>
      <c r="T77" s="8"/>
      <c r="U77" s="8"/>
    </row>
    <row r="78" spans="1:21" x14ac:dyDescent="0.35">
      <c r="A78" s="10"/>
      <c r="B78" s="35" t="str">
        <f>IFERROR(
IF(AmazonSales!E:E&lt;&gt;"","Cancelled",
IF(AmazonSales!C:C="","No Delivery Date",
IF(AmazonSales!C:C&lt;AmazonSales!B:B,"Check Dates",
IF(AmazonSales!C:C-AmazonSales!B:B&lt;=2,"Fast","Slow")
)
)
),
)</f>
        <v>Fast</v>
      </c>
      <c r="C78" s="35" t="s">
        <v>25</v>
      </c>
      <c r="D78" s="49" t="s">
        <v>50</v>
      </c>
      <c r="E78" s="36">
        <v>1070</v>
      </c>
      <c r="F78" s="35" t="s">
        <v>111</v>
      </c>
      <c r="G78" s="8"/>
      <c r="H78" s="8"/>
      <c r="I78" s="8"/>
      <c r="J78" s="8"/>
      <c r="K78" s="8"/>
      <c r="M78" s="8"/>
      <c r="N78" s="8"/>
      <c r="O78" s="8"/>
      <c r="P78" s="8"/>
      <c r="Q78" s="8"/>
      <c r="R78" s="8"/>
      <c r="S78" s="8"/>
      <c r="T78" s="8"/>
      <c r="U78" s="8"/>
    </row>
    <row r="79" spans="1:21" x14ac:dyDescent="0.35">
      <c r="A79" s="10"/>
      <c r="B79" s="35" t="str">
        <f>IFERROR(
IF(AmazonSales!E:E&lt;&gt;"","Cancelled",
IF(AmazonSales!C:C="","No Delivery Date",
IF(AmazonSales!C:C&lt;AmazonSales!B:B,"Check Dates",
IF(AmazonSales!C:C-AmazonSales!B:B&lt;=2,"Fast","Slow")
)
)
),
)</f>
        <v>Cancelled</v>
      </c>
      <c r="C79" s="35" t="s">
        <v>18</v>
      </c>
      <c r="D79" s="49" t="s">
        <v>45</v>
      </c>
      <c r="E79" s="36">
        <v>84</v>
      </c>
      <c r="F79" s="35" t="s">
        <v>90</v>
      </c>
      <c r="G79" s="8"/>
      <c r="H79" s="8"/>
      <c r="I79" s="8"/>
      <c r="J79" s="8"/>
      <c r="K79" s="8"/>
      <c r="M79" s="8"/>
      <c r="N79" s="8"/>
      <c r="O79" s="8"/>
      <c r="P79" s="8"/>
      <c r="Q79" s="8"/>
      <c r="R79" s="8"/>
      <c r="S79" s="8"/>
      <c r="T79" s="8"/>
      <c r="U79" s="8"/>
    </row>
    <row r="80" spans="1:21" x14ac:dyDescent="0.35">
      <c r="A80" s="10"/>
      <c r="B80" s="35" t="str">
        <f>IFERROR(
IF(AmazonSales!E:E&lt;&gt;"","Cancelled",
IF(AmazonSales!C:C="","No Delivery Date",
IF(AmazonSales!C:C&lt;AmazonSales!B:B,"Check Dates",
IF(AmazonSales!C:C-AmazonSales!B:B&lt;=2,"Fast","Slow")
)
)
),
)</f>
        <v>No Delivery Date</v>
      </c>
      <c r="C80" s="35" t="s">
        <v>29</v>
      </c>
      <c r="D80" s="49" t="s">
        <v>16</v>
      </c>
      <c r="E80" s="36">
        <v>46</v>
      </c>
      <c r="F80" s="35" t="s">
        <v>15</v>
      </c>
      <c r="G80" s="8"/>
      <c r="H80" s="8"/>
      <c r="I80" s="8"/>
      <c r="J80" s="8"/>
      <c r="K80" s="8"/>
      <c r="M80" s="8"/>
      <c r="N80" s="8"/>
      <c r="O80" s="8"/>
      <c r="P80" s="8"/>
      <c r="Q80" s="8"/>
      <c r="R80" s="8"/>
      <c r="S80" s="8"/>
      <c r="T80" s="8"/>
      <c r="U80" s="8"/>
    </row>
    <row r="81" spans="1:21" x14ac:dyDescent="0.35">
      <c r="A81" s="10"/>
      <c r="B81" s="35" t="str">
        <f>IFERROR(
IF(AmazonSales!E:E&lt;&gt;"","Cancelled",
IF(AmazonSales!C:C="","No Delivery Date",
IF(AmazonSales!C:C&lt;AmazonSales!B:B,"Check Dates",
IF(AmazonSales!C:C-AmazonSales!B:B&lt;=2,"Fast","Slow")
)
)
),
)</f>
        <v>Slow</v>
      </c>
      <c r="C81" s="35" t="s">
        <v>25</v>
      </c>
      <c r="D81" s="49" t="s">
        <v>23</v>
      </c>
      <c r="E81" s="36">
        <v>380</v>
      </c>
      <c r="F81" s="35" t="s">
        <v>22</v>
      </c>
      <c r="G81" s="8"/>
      <c r="H81" s="8"/>
      <c r="I81" s="8"/>
      <c r="J81" s="8"/>
      <c r="K81" s="8"/>
      <c r="M81" s="8"/>
      <c r="N81" s="8"/>
      <c r="O81" s="8"/>
      <c r="P81" s="8"/>
      <c r="Q81" s="8"/>
      <c r="R81" s="8"/>
      <c r="S81" s="8"/>
      <c r="T81" s="8"/>
      <c r="U81" s="8"/>
    </row>
    <row r="82" spans="1:21" x14ac:dyDescent="0.35">
      <c r="A82" s="10"/>
      <c r="B82" s="35" t="str">
        <f>IFERROR(
IF(AmazonSales!E:E&lt;&gt;"","Cancelled",
IF(AmazonSales!C:C="","No Delivery Date",
IF(AmazonSales!C:C&lt;AmazonSales!B:B,"Check Dates",
IF(AmazonSales!C:C-AmazonSales!B:B&lt;=2,"Fast","Slow")
)
)
),
)</f>
        <v>No Delivery Date</v>
      </c>
      <c r="C82" s="35" t="s">
        <v>29</v>
      </c>
      <c r="D82" s="49" t="s">
        <v>50</v>
      </c>
      <c r="E82" s="36">
        <v>348</v>
      </c>
      <c r="F82" s="35" t="s">
        <v>109</v>
      </c>
      <c r="G82" s="8"/>
      <c r="H82" s="8"/>
      <c r="I82" s="8"/>
      <c r="J82" s="8"/>
      <c r="K82" s="8"/>
      <c r="M82" s="8"/>
      <c r="N82" s="8"/>
      <c r="O82" s="8"/>
      <c r="P82" s="8"/>
      <c r="Q82" s="8"/>
      <c r="R82" s="8"/>
      <c r="S82" s="8"/>
      <c r="T82" s="8"/>
      <c r="U82" s="8"/>
    </row>
    <row r="83" spans="1:21" x14ac:dyDescent="0.35">
      <c r="A83" s="10"/>
      <c r="B83" s="35" t="str">
        <f>IFERROR(
IF(AmazonSales!E:E&lt;&gt;"","Cancelled",
IF(AmazonSales!C:C="","No Delivery Date",
IF(AmazonSales!C:C&lt;AmazonSales!B:B,"Check Dates",
IF(AmazonSales!C:C-AmazonSales!B:B&lt;=2,"Fast","Slow")
)
)
),
)</f>
        <v>Cancelled</v>
      </c>
      <c r="C83" s="35" t="s">
        <v>18</v>
      </c>
      <c r="D83" s="49" t="s">
        <v>16</v>
      </c>
      <c r="E83" s="36">
        <v>135</v>
      </c>
      <c r="F83" s="35" t="s">
        <v>69</v>
      </c>
      <c r="G83" s="8"/>
      <c r="H83" s="8"/>
      <c r="I83" s="8"/>
      <c r="J83" s="8"/>
      <c r="K83" s="8"/>
      <c r="M83" s="8"/>
      <c r="N83" s="8"/>
      <c r="O83" s="8"/>
      <c r="P83" s="8"/>
      <c r="Q83" s="8"/>
      <c r="R83" s="8"/>
      <c r="S83" s="8"/>
      <c r="T83" s="8"/>
      <c r="U83" s="8"/>
    </row>
    <row r="84" spans="1:21" x14ac:dyDescent="0.35">
      <c r="A84" s="10"/>
      <c r="B84" s="35" t="str">
        <f>IFERROR(
IF(AmazonSales!E:E&lt;&gt;"","Cancelled",
IF(AmazonSales!C:C="","No Delivery Date",
IF(AmazonSales!C:C&lt;AmazonSales!B:B,"Check Dates",
IF(AmazonSales!C:C-AmazonSales!B:B&lt;=2,"Fast","Slow")
)
)
),
)</f>
        <v>Fast</v>
      </c>
      <c r="C84" s="35" t="s">
        <v>25</v>
      </c>
      <c r="D84" s="49" t="s">
        <v>28</v>
      </c>
      <c r="E84" s="36">
        <v>108</v>
      </c>
      <c r="F84" s="35" t="s">
        <v>69</v>
      </c>
      <c r="G84" s="8"/>
      <c r="H84" s="8"/>
      <c r="I84" s="8"/>
      <c r="J84" s="8"/>
      <c r="K84" s="8"/>
      <c r="M84" s="8"/>
      <c r="N84" s="8"/>
      <c r="O84" s="8"/>
      <c r="P84" s="8"/>
      <c r="Q84" s="8"/>
      <c r="R84" s="8"/>
      <c r="S84" s="8"/>
      <c r="T84" s="8"/>
      <c r="U84" s="8"/>
    </row>
    <row r="85" spans="1:21" x14ac:dyDescent="0.35">
      <c r="A85" s="10"/>
      <c r="B85" s="35" t="str">
        <f>IFERROR(
IF(AmazonSales!E:E&lt;&gt;"","Cancelled",
IF(AmazonSales!C:C="","No Delivery Date",
IF(AmazonSales!C:C&lt;AmazonSales!B:B,"Check Dates",
IF(AmazonSales!C:C-AmazonSales!B:B&lt;=2,"Fast","Slow")
)
)
),
)</f>
        <v>No Delivery Date</v>
      </c>
      <c r="C85" s="35" t="s">
        <v>29</v>
      </c>
      <c r="D85" s="49" t="s">
        <v>28</v>
      </c>
      <c r="E85" s="36">
        <v>130</v>
      </c>
      <c r="F85" s="35" t="s">
        <v>92</v>
      </c>
      <c r="G85" s="8"/>
      <c r="H85" s="8"/>
      <c r="I85" s="8"/>
      <c r="J85" s="8"/>
      <c r="K85" s="8"/>
      <c r="M85" s="8"/>
      <c r="N85" s="8"/>
      <c r="O85" s="8"/>
      <c r="P85" s="8"/>
      <c r="Q85" s="8"/>
      <c r="R85" s="8"/>
      <c r="S85" s="8"/>
      <c r="T85" s="8"/>
      <c r="U85" s="8"/>
    </row>
    <row r="86" spans="1:21" x14ac:dyDescent="0.35">
      <c r="A86" s="10"/>
      <c r="B86" s="35" t="str">
        <f>IFERROR(
IF(AmazonSales!E:E&lt;&gt;"","Cancelled",
IF(AmazonSales!C:C="","No Delivery Date",
IF(AmazonSales!C:C&lt;AmazonSales!B:B,"Check Dates",
IF(AmazonSales!C:C-AmazonSales!B:B&lt;=2,"Fast","Slow")
)
)
),
)</f>
        <v>No Delivery Date</v>
      </c>
      <c r="C86" s="35" t="s">
        <v>29</v>
      </c>
      <c r="D86" s="49" t="s">
        <v>23</v>
      </c>
      <c r="E86" s="36">
        <v>215</v>
      </c>
      <c r="F86" s="35" t="s">
        <v>53</v>
      </c>
      <c r="G86" s="8"/>
      <c r="H86" s="8"/>
      <c r="I86" s="8"/>
      <c r="J86" s="8"/>
      <c r="K86" s="8"/>
      <c r="M86" s="8"/>
      <c r="N86" s="8"/>
      <c r="O86" s="8"/>
      <c r="P86" s="8"/>
      <c r="Q86" s="8"/>
      <c r="R86" s="8"/>
      <c r="S86" s="8"/>
      <c r="T86" s="8"/>
      <c r="U86" s="8"/>
    </row>
    <row r="87" spans="1:21" x14ac:dyDescent="0.35">
      <c r="A87" s="10"/>
      <c r="B87" s="35" t="str">
        <f>IFERROR(
IF(AmazonSales!E:E&lt;&gt;"","Cancelled",
IF(AmazonSales!C:C="","No Delivery Date",
IF(AmazonSales!C:C&lt;AmazonSales!B:B,"Check Dates",
IF(AmazonSales!C:C-AmazonSales!B:B&lt;=2,"Fast","Slow")
)
)
),
)</f>
        <v>No Delivery Date</v>
      </c>
      <c r="C87" s="35" t="s">
        <v>29</v>
      </c>
      <c r="D87" s="49" t="s">
        <v>50</v>
      </c>
      <c r="E87" s="36">
        <v>210</v>
      </c>
      <c r="F87" s="35" t="s">
        <v>111</v>
      </c>
      <c r="G87" s="8"/>
      <c r="H87" s="8"/>
      <c r="I87" s="8"/>
      <c r="J87" s="8"/>
      <c r="K87" s="8"/>
      <c r="M87" s="8"/>
      <c r="N87" s="8"/>
      <c r="O87" s="8"/>
      <c r="P87" s="8"/>
      <c r="Q87" s="8"/>
      <c r="R87" s="8"/>
      <c r="S87" s="8"/>
      <c r="T87" s="8"/>
      <c r="U87" s="8"/>
    </row>
    <row r="88" spans="1:21" x14ac:dyDescent="0.35">
      <c r="A88" s="10"/>
      <c r="B88" s="35" t="str">
        <f>IFERROR(
IF(AmazonSales!E:E&lt;&gt;"","Cancelled",
IF(AmazonSales!C:C="","No Delivery Date",
IF(AmazonSales!C:C&lt;AmazonSales!B:B,"Check Dates",
IF(AmazonSales!C:C-AmazonSales!B:B&lt;=2,"Fast","Slow")
)
)
),
)</f>
        <v>No Delivery Date</v>
      </c>
      <c r="C88" s="35" t="s">
        <v>29</v>
      </c>
      <c r="D88" s="34" t="s">
        <v>28</v>
      </c>
      <c r="E88" s="36">
        <v>111</v>
      </c>
      <c r="F88" s="35" t="s">
        <v>49</v>
      </c>
      <c r="G88" s="8"/>
      <c r="H88" s="8"/>
      <c r="I88" s="8"/>
      <c r="J88" s="8"/>
      <c r="K88" s="8"/>
      <c r="M88" s="8"/>
      <c r="N88" s="8"/>
      <c r="O88" s="8"/>
      <c r="P88" s="8"/>
      <c r="Q88" s="8"/>
      <c r="R88" s="8"/>
      <c r="S88" s="8"/>
      <c r="T88" s="8"/>
      <c r="U88" s="8"/>
    </row>
    <row r="89" spans="1:21" x14ac:dyDescent="0.35">
      <c r="A89" s="10"/>
      <c r="B89" s="35" t="str">
        <f>IFERROR(
IF(AmazonSales!E:E&lt;&gt;"","Cancelled",
IF(AmazonSales!C:C="","No Delivery Date",
IF(AmazonSales!C:C&lt;AmazonSales!B:B,"Check Dates",
IF(AmazonSales!C:C-AmazonSales!B:B&lt;=2,"Fast","Slow")
)
)
),
)</f>
        <v>No Delivery Date</v>
      </c>
      <c r="C89" s="35" t="s">
        <v>29</v>
      </c>
      <c r="D89" s="49" t="s">
        <v>28</v>
      </c>
      <c r="E89" s="36">
        <v>3152</v>
      </c>
      <c r="F89" s="35" t="s">
        <v>81</v>
      </c>
      <c r="G89" s="8"/>
      <c r="H89" s="8"/>
      <c r="I89" s="8"/>
      <c r="J89" s="8"/>
      <c r="K89" s="8"/>
      <c r="M89" s="8"/>
      <c r="N89" s="8"/>
      <c r="O89" s="8"/>
      <c r="P89" s="8"/>
      <c r="Q89" s="8"/>
      <c r="R89" s="8"/>
      <c r="S89" s="8"/>
      <c r="T89" s="8"/>
      <c r="U89" s="8"/>
    </row>
    <row r="90" spans="1:21" x14ac:dyDescent="0.35">
      <c r="A90" s="10"/>
      <c r="B90" s="35" t="str">
        <f>IFERROR(
IF(AmazonSales!E:E&lt;&gt;"","Cancelled",
IF(AmazonSales!C:C="","No Delivery Date",
IF(AmazonSales!C:C&lt;AmazonSales!B:B,"Check Dates",
IF(AmazonSales!C:C-AmazonSales!B:B&lt;=2,"Fast","Slow")
)
)
),
)</f>
        <v>No Delivery Date</v>
      </c>
      <c r="C90" s="35" t="s">
        <v>29</v>
      </c>
      <c r="D90" s="49" t="s">
        <v>50</v>
      </c>
      <c r="E90" s="36">
        <v>1085</v>
      </c>
      <c r="F90" s="35" t="s">
        <v>111</v>
      </c>
      <c r="G90" s="8"/>
      <c r="H90" s="8"/>
      <c r="I90" s="8"/>
      <c r="J90" s="8"/>
      <c r="K90" s="8"/>
      <c r="M90" s="8"/>
      <c r="N90" s="8"/>
      <c r="O90" s="8"/>
      <c r="P90" s="8"/>
      <c r="Q90" s="8"/>
      <c r="R90" s="8"/>
      <c r="S90" s="8"/>
      <c r="T90" s="8"/>
      <c r="U90" s="8"/>
    </row>
    <row r="91" spans="1:21" x14ac:dyDescent="0.35">
      <c r="A91" s="10"/>
      <c r="B91" s="35" t="str">
        <f>IFERROR(
IF(AmazonSales!E:E&lt;&gt;"","Cancelled",
IF(AmazonSales!C:C="","No Delivery Date",
IF(AmazonSales!C:C&lt;AmazonSales!B:B,"Check Dates",
IF(AmazonSales!C:C-AmazonSales!B:B&lt;=2,"Fast","Slow")
)
)
),
)</f>
        <v>No Delivery Date</v>
      </c>
      <c r="C91" s="35" t="s">
        <v>29</v>
      </c>
      <c r="D91" s="49" t="s">
        <v>50</v>
      </c>
      <c r="E91" s="36">
        <v>552</v>
      </c>
      <c r="F91" s="35" t="s">
        <v>55</v>
      </c>
      <c r="G91" s="8"/>
      <c r="H91" s="8"/>
      <c r="I91" s="8"/>
      <c r="J91" s="8"/>
      <c r="K91" s="8"/>
      <c r="M91" s="8"/>
      <c r="N91" s="8"/>
      <c r="O91" s="8"/>
      <c r="P91" s="8"/>
      <c r="Q91" s="8"/>
      <c r="R91" s="8"/>
      <c r="S91" s="8"/>
      <c r="T91" s="8"/>
      <c r="U91" s="8"/>
    </row>
    <row r="92" spans="1:21" x14ac:dyDescent="0.35">
      <c r="A92" s="10"/>
      <c r="B92" s="35" t="str">
        <f>IFERROR(
IF(AmazonSales!E:E&lt;&gt;"","Cancelled",
IF(AmazonSales!C:C="","No Delivery Date",
IF(AmazonSales!C:C&lt;AmazonSales!B:B,"Check Dates",
IF(AmazonSales!C:C-AmazonSales!B:B&lt;=2,"Fast","Slow")
)
)
),
)</f>
        <v>Slow</v>
      </c>
      <c r="C92" s="35" t="s">
        <v>25</v>
      </c>
      <c r="D92" s="49" t="s">
        <v>45</v>
      </c>
      <c r="E92" s="36">
        <v>1606</v>
      </c>
      <c r="F92" s="35" t="s">
        <v>81</v>
      </c>
      <c r="G92" s="8"/>
      <c r="H92" s="8"/>
      <c r="I92" s="8"/>
      <c r="J92" s="8"/>
      <c r="K92" s="8"/>
      <c r="M92" s="8"/>
      <c r="N92" s="8"/>
      <c r="O92" s="8"/>
      <c r="P92" s="8"/>
      <c r="Q92" s="8"/>
      <c r="R92" s="8"/>
      <c r="S92" s="8"/>
      <c r="T92" s="8"/>
      <c r="U92" s="8"/>
    </row>
    <row r="93" spans="1:21" x14ac:dyDescent="0.35">
      <c r="A93" s="10"/>
      <c r="B93" s="35" t="str">
        <f>IFERROR(
IF(AmazonSales!E:E&lt;&gt;"","Cancelled",
IF(AmazonSales!C:C="","No Delivery Date",
IF(AmazonSales!C:C&lt;AmazonSales!B:B,"Check Dates",
IF(AmazonSales!C:C-AmazonSales!B:B&lt;=2,"Fast","Slow")
)
)
),
)</f>
        <v>Cancelled</v>
      </c>
      <c r="C93" s="35" t="s">
        <v>18</v>
      </c>
      <c r="D93" s="49" t="s">
        <v>16</v>
      </c>
      <c r="E93" s="36">
        <v>1240</v>
      </c>
      <c r="F93" s="35" t="s">
        <v>58</v>
      </c>
      <c r="G93" s="8"/>
      <c r="H93" s="8"/>
      <c r="I93" s="8"/>
      <c r="J93" s="8"/>
      <c r="K93" s="8"/>
      <c r="M93" s="8"/>
      <c r="N93" s="8"/>
      <c r="O93" s="8"/>
      <c r="P93" s="8"/>
      <c r="Q93" s="8"/>
      <c r="R93" s="8"/>
      <c r="S93" s="8"/>
      <c r="T93" s="8"/>
      <c r="U93" s="8"/>
    </row>
    <row r="94" spans="1:21" x14ac:dyDescent="0.35">
      <c r="A94" s="10"/>
      <c r="B94" s="35" t="str">
        <f>IFERROR(
IF(AmazonSales!E:E&lt;&gt;"","Cancelled",
IF(AmazonSales!C:C="","No Delivery Date",
IF(AmazonSales!C:C&lt;AmazonSales!B:B,"Check Dates",
IF(AmazonSales!C:C-AmazonSales!B:B&lt;=2,"Fast","Slow")
)
)
),
)</f>
        <v>Fast</v>
      </c>
      <c r="C94" s="35" t="s">
        <v>25</v>
      </c>
      <c r="D94" s="49" t="s">
        <v>23</v>
      </c>
      <c r="E94" s="36">
        <v>630</v>
      </c>
      <c r="F94" s="35" t="s">
        <v>111</v>
      </c>
      <c r="G94" s="8"/>
      <c r="H94" s="8"/>
      <c r="I94" s="8"/>
      <c r="J94" s="8"/>
      <c r="K94" s="8"/>
      <c r="M94" s="8"/>
      <c r="N94" s="8"/>
      <c r="O94" s="8"/>
      <c r="P94" s="8"/>
      <c r="Q94" s="8"/>
      <c r="R94" s="8"/>
      <c r="S94" s="8"/>
      <c r="T94" s="8"/>
      <c r="U94" s="8"/>
    </row>
    <row r="95" spans="1:21" x14ac:dyDescent="0.35">
      <c r="A95" s="10"/>
      <c r="B95" s="35" t="str">
        <f>IFERROR(
IF(AmazonSales!E:E&lt;&gt;"","Cancelled",
IF(AmazonSales!C:C="","No Delivery Date",
IF(AmazonSales!C:C&lt;AmazonSales!B:B,"Check Dates",
IF(AmazonSales!C:C-AmazonSales!B:B&lt;=2,"Fast","Slow")
)
)
),
)</f>
        <v>Cancelled</v>
      </c>
      <c r="C95" s="35" t="s">
        <v>18</v>
      </c>
      <c r="D95" s="49" t="s">
        <v>16</v>
      </c>
      <c r="E95" s="36">
        <v>124</v>
      </c>
      <c r="F95" s="35" t="s">
        <v>119</v>
      </c>
      <c r="G95" s="8"/>
      <c r="H95" s="8"/>
      <c r="I95" s="8"/>
      <c r="J95" s="8"/>
      <c r="K95" s="8"/>
      <c r="M95" s="8"/>
      <c r="N95" s="8"/>
      <c r="O95" s="8"/>
      <c r="P95" s="8"/>
      <c r="Q95" s="8"/>
      <c r="R95" s="8"/>
      <c r="S95" s="8"/>
      <c r="T95" s="8"/>
      <c r="U95" s="8"/>
    </row>
    <row r="96" spans="1:21" x14ac:dyDescent="0.35">
      <c r="A96" s="10"/>
      <c r="B96" s="35" t="str">
        <f>IFERROR(
IF(AmazonSales!E:E&lt;&gt;"","Cancelled",
IF(AmazonSales!C:C="","No Delivery Date",
IF(AmazonSales!C:C&lt;AmazonSales!B:B,"Check Dates",
IF(AmazonSales!C:C-AmazonSales!B:B&lt;=2,"Fast","Slow")
)
)
),
)</f>
        <v>Cancelled</v>
      </c>
      <c r="C96" s="35" t="s">
        <v>18</v>
      </c>
      <c r="D96" s="49" t="s">
        <v>28</v>
      </c>
      <c r="E96" s="36">
        <v>55</v>
      </c>
      <c r="F96" s="35" t="s">
        <v>104</v>
      </c>
      <c r="G96" s="8"/>
      <c r="H96" s="8"/>
      <c r="I96" s="8"/>
      <c r="J96" s="8"/>
      <c r="K96" s="8"/>
      <c r="M96" s="8"/>
      <c r="N96" s="8"/>
      <c r="O96" s="8"/>
      <c r="P96" s="8"/>
      <c r="Q96" s="8"/>
      <c r="R96" s="8"/>
      <c r="S96" s="8"/>
      <c r="T96" s="8"/>
      <c r="U96" s="8"/>
    </row>
    <row r="97" spans="1:21" x14ac:dyDescent="0.35">
      <c r="A97" s="10"/>
      <c r="B97" s="35" t="str">
        <f>IFERROR(
IF(AmazonSales!E:E&lt;&gt;"","Cancelled",
IF(AmazonSales!C:C="","No Delivery Date",
IF(AmazonSales!C:C&lt;AmazonSales!B:B,"Check Dates",
IF(AmazonSales!C:C-AmazonSales!B:B&lt;=2,"Fast","Slow")
)
)
),
)</f>
        <v>Slow</v>
      </c>
      <c r="C97" s="35" t="s">
        <v>25</v>
      </c>
      <c r="D97" s="49" t="s">
        <v>16</v>
      </c>
      <c r="E97" s="36">
        <v>42</v>
      </c>
      <c r="F97" s="35" t="s">
        <v>73</v>
      </c>
      <c r="G97" s="8"/>
      <c r="H97" s="8"/>
      <c r="I97" s="8"/>
      <c r="J97" s="8"/>
      <c r="K97" s="8"/>
      <c r="M97" s="8"/>
      <c r="N97" s="8"/>
      <c r="O97" s="8"/>
      <c r="P97" s="8"/>
      <c r="Q97" s="8"/>
      <c r="R97" s="8"/>
      <c r="S97" s="8"/>
      <c r="T97" s="8"/>
      <c r="U97" s="8"/>
    </row>
    <row r="98" spans="1:21" x14ac:dyDescent="0.35">
      <c r="A98" s="10"/>
      <c r="B98" s="35" t="str">
        <f>IFERROR(
IF(AmazonSales!E:E&lt;&gt;"","Cancelled",
IF(AmazonSales!C:C="","No Delivery Date",
IF(AmazonSales!C:C&lt;AmazonSales!B:B,"Check Dates",
IF(AmazonSales!C:C-AmazonSales!B:B&lt;=2,"Fast","Slow")
)
)
),
)</f>
        <v>Slow</v>
      </c>
      <c r="C98" s="35" t="s">
        <v>25</v>
      </c>
      <c r="D98" s="49" t="s">
        <v>50</v>
      </c>
      <c r="E98" s="36">
        <v>475</v>
      </c>
      <c r="F98" s="35" t="s">
        <v>22</v>
      </c>
      <c r="G98" s="8"/>
      <c r="H98" s="8"/>
      <c r="I98" s="8"/>
      <c r="J98" s="8"/>
      <c r="K98" s="8"/>
      <c r="M98" s="8"/>
      <c r="N98" s="8"/>
      <c r="O98" s="8"/>
      <c r="P98" s="8"/>
      <c r="Q98" s="8"/>
      <c r="R98" s="8"/>
      <c r="S98" s="8"/>
      <c r="T98" s="8"/>
      <c r="U98" s="8"/>
    </row>
    <row r="99" spans="1:21" x14ac:dyDescent="0.35">
      <c r="A99" s="10"/>
      <c r="B99" s="35" t="str">
        <f>IFERROR(
IF(AmazonSales!E:E&lt;&gt;"","Cancelled",
IF(AmazonSales!C:C="","No Delivery Date",
IF(AmazonSales!C:C&lt;AmazonSales!B:B,"Check Dates",
IF(AmazonSales!C:C-AmazonSales!B:B&lt;=2,"Fast","Slow")
)
)
),
)</f>
        <v>Slow</v>
      </c>
      <c r="C99" s="35" t="s">
        <v>25</v>
      </c>
      <c r="D99" s="49" t="s">
        <v>28</v>
      </c>
      <c r="E99" s="36">
        <v>430</v>
      </c>
      <c r="F99" s="35" t="s">
        <v>111</v>
      </c>
      <c r="G99" s="8"/>
      <c r="H99" s="8"/>
      <c r="I99" s="8"/>
      <c r="J99" s="8"/>
      <c r="K99" s="8"/>
      <c r="M99" s="8"/>
      <c r="N99" s="8"/>
      <c r="O99" s="8"/>
      <c r="P99" s="8"/>
      <c r="Q99" s="8"/>
      <c r="R99" s="8"/>
      <c r="S99" s="8"/>
      <c r="T99" s="8"/>
      <c r="U99" s="8"/>
    </row>
    <row r="100" spans="1:21" x14ac:dyDescent="0.35">
      <c r="A100" s="10"/>
      <c r="B100" s="35" t="str">
        <f>IFERROR(
IF(AmazonSales!E:E&lt;&gt;"","Cancelled",
IF(AmazonSales!C:C="","No Delivery Date",
IF(AmazonSales!C:C&lt;AmazonSales!B:B,"Check Dates",
IF(AmazonSales!C:C-AmazonSales!B:B&lt;=2,"Fast","Slow")
)
)
),
)</f>
        <v>Cancelled</v>
      </c>
      <c r="C100" s="35" t="s">
        <v>18</v>
      </c>
      <c r="D100" s="49" t="s">
        <v>50</v>
      </c>
      <c r="E100" s="36">
        <v>215</v>
      </c>
      <c r="F100" s="35" t="s">
        <v>53</v>
      </c>
      <c r="G100" s="8"/>
      <c r="H100" s="8"/>
      <c r="I100" s="8"/>
      <c r="J100" s="8"/>
      <c r="K100" s="8"/>
      <c r="M100" s="8"/>
      <c r="N100" s="8"/>
      <c r="O100" s="8"/>
      <c r="P100" s="8"/>
      <c r="Q100" s="8"/>
      <c r="R100" s="8"/>
      <c r="S100" s="8"/>
      <c r="T100" s="8"/>
      <c r="U100" s="8"/>
    </row>
    <row r="101" spans="1:21" x14ac:dyDescent="0.35">
      <c r="A101" s="10"/>
      <c r="B101" s="35" t="str">
        <f>IFERROR(
IF(AmazonSales!E:E&lt;&gt;"","Cancelled",
IF(AmazonSales!C:C="","No Delivery Date",
IF(AmazonSales!C:C&lt;AmazonSales!B:B,"Check Dates",
IF(AmazonSales!C:C-AmazonSales!B:B&lt;=2,"Fast","Slow")
)
)
),
)</f>
        <v>No Delivery Date</v>
      </c>
      <c r="C101" s="35" t="s">
        <v>29</v>
      </c>
      <c r="D101" s="49" t="s">
        <v>50</v>
      </c>
      <c r="E101" s="36">
        <v>168</v>
      </c>
      <c r="F101" s="35" t="s">
        <v>90</v>
      </c>
      <c r="G101" s="8"/>
      <c r="H101" s="8"/>
      <c r="I101" s="8"/>
      <c r="J101" s="8"/>
      <c r="K101" s="8"/>
      <c r="M101" s="8"/>
      <c r="N101" s="8"/>
      <c r="O101" s="8"/>
      <c r="P101" s="8"/>
      <c r="Q101" s="8"/>
      <c r="R101" s="8"/>
      <c r="S101" s="8"/>
      <c r="T101" s="8"/>
      <c r="U101" s="8"/>
    </row>
    <row r="102" spans="1:21" x14ac:dyDescent="0.35">
      <c r="A102" s="11"/>
      <c r="B102" s="1"/>
      <c r="C102" s="1"/>
      <c r="D102" s="1"/>
      <c r="E102" s="11"/>
      <c r="F102" s="1"/>
      <c r="G102" s="1"/>
      <c r="H102" s="1"/>
      <c r="I102" s="1"/>
      <c r="J102" s="1"/>
      <c r="K102" s="1"/>
      <c r="M102" s="1"/>
      <c r="N102" s="1"/>
      <c r="O102" s="1"/>
      <c r="P102" s="1"/>
      <c r="Q102" s="1"/>
      <c r="R102" s="1"/>
      <c r="S102" s="1"/>
      <c r="T102" s="1"/>
      <c r="U102" s="1"/>
    </row>
    <row r="103" spans="1:21" x14ac:dyDescent="0.35">
      <c r="A103"/>
      <c r="E103"/>
    </row>
    <row r="104" spans="1:21" x14ac:dyDescent="0.35">
      <c r="A104"/>
      <c r="E104"/>
    </row>
    <row r="105" spans="1:21" x14ac:dyDescent="0.35">
      <c r="A105"/>
      <c r="E105"/>
    </row>
    <row r="106" spans="1:21" x14ac:dyDescent="0.35">
      <c r="A106"/>
      <c r="E106"/>
    </row>
    <row r="107" spans="1:21" x14ac:dyDescent="0.35">
      <c r="A107"/>
      <c r="E107"/>
    </row>
    <row r="108" spans="1:21" x14ac:dyDescent="0.35">
      <c r="A108"/>
      <c r="E108"/>
    </row>
    <row r="109" spans="1:21" x14ac:dyDescent="0.35">
      <c r="A109"/>
      <c r="E109"/>
    </row>
    <row r="110" spans="1:21" x14ac:dyDescent="0.35">
      <c r="A110"/>
      <c r="E110"/>
    </row>
    <row r="111" spans="1:21" x14ac:dyDescent="0.35">
      <c r="A111"/>
      <c r="E111"/>
    </row>
    <row r="112" spans="1:21" x14ac:dyDescent="0.35">
      <c r="A112"/>
      <c r="E112"/>
    </row>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row r="525" customFormat="1" x14ac:dyDescent="0.35"/>
    <row r="526" customFormat="1" x14ac:dyDescent="0.35"/>
    <row r="527" customFormat="1" x14ac:dyDescent="0.35"/>
    <row r="528" customFormat="1" x14ac:dyDescent="0.35"/>
    <row r="529" customFormat="1" x14ac:dyDescent="0.35"/>
    <row r="530" customFormat="1" x14ac:dyDescent="0.35"/>
    <row r="531" customFormat="1" x14ac:dyDescent="0.35"/>
    <row r="532" customFormat="1" x14ac:dyDescent="0.35"/>
    <row r="533" customFormat="1" x14ac:dyDescent="0.35"/>
    <row r="534" customFormat="1" x14ac:dyDescent="0.35"/>
    <row r="535" customFormat="1" x14ac:dyDescent="0.35"/>
    <row r="536" customFormat="1" x14ac:dyDescent="0.35"/>
    <row r="537" customFormat="1" x14ac:dyDescent="0.35"/>
    <row r="538" customFormat="1" x14ac:dyDescent="0.35"/>
    <row r="539" customFormat="1" x14ac:dyDescent="0.35"/>
    <row r="540" customFormat="1" x14ac:dyDescent="0.35"/>
    <row r="541" customFormat="1" x14ac:dyDescent="0.35"/>
    <row r="542" customFormat="1" x14ac:dyDescent="0.35"/>
    <row r="543" customFormat="1" x14ac:dyDescent="0.35"/>
    <row r="544" customFormat="1" x14ac:dyDescent="0.35"/>
    <row r="545" customFormat="1" x14ac:dyDescent="0.35"/>
    <row r="546" customFormat="1" x14ac:dyDescent="0.35"/>
    <row r="547" customFormat="1" x14ac:dyDescent="0.35"/>
    <row r="548" customFormat="1" x14ac:dyDescent="0.35"/>
    <row r="549" customFormat="1" x14ac:dyDescent="0.35"/>
    <row r="550" customFormat="1" x14ac:dyDescent="0.35"/>
    <row r="551" customFormat="1" x14ac:dyDescent="0.35"/>
    <row r="552" customFormat="1" x14ac:dyDescent="0.35"/>
    <row r="553" customFormat="1" x14ac:dyDescent="0.35"/>
    <row r="554" customFormat="1" x14ac:dyDescent="0.35"/>
    <row r="555" customFormat="1" x14ac:dyDescent="0.35"/>
    <row r="556" customFormat="1" x14ac:dyDescent="0.35"/>
    <row r="557" customFormat="1" x14ac:dyDescent="0.35"/>
    <row r="558" customFormat="1" x14ac:dyDescent="0.35"/>
    <row r="559" customFormat="1" x14ac:dyDescent="0.35"/>
    <row r="560" customFormat="1" x14ac:dyDescent="0.35"/>
    <row r="561" customFormat="1" x14ac:dyDescent="0.35"/>
    <row r="562" customFormat="1" x14ac:dyDescent="0.35"/>
    <row r="563" customFormat="1" x14ac:dyDescent="0.35"/>
    <row r="564" customFormat="1" x14ac:dyDescent="0.35"/>
    <row r="565" customFormat="1" x14ac:dyDescent="0.35"/>
    <row r="566" customFormat="1" x14ac:dyDescent="0.35"/>
    <row r="567" customFormat="1" x14ac:dyDescent="0.35"/>
    <row r="568" customFormat="1" x14ac:dyDescent="0.35"/>
    <row r="569" customFormat="1" x14ac:dyDescent="0.35"/>
    <row r="570" customFormat="1" x14ac:dyDescent="0.35"/>
    <row r="571" customFormat="1" x14ac:dyDescent="0.35"/>
    <row r="572" customFormat="1" x14ac:dyDescent="0.35"/>
    <row r="573" customFormat="1" x14ac:dyDescent="0.35"/>
    <row r="574" customFormat="1" x14ac:dyDescent="0.35"/>
    <row r="575" customFormat="1" x14ac:dyDescent="0.35"/>
    <row r="576" customFormat="1" x14ac:dyDescent="0.35"/>
    <row r="577" customFormat="1" x14ac:dyDescent="0.35"/>
    <row r="578" customFormat="1" x14ac:dyDescent="0.35"/>
    <row r="579" customFormat="1" x14ac:dyDescent="0.35"/>
    <row r="580" customFormat="1" x14ac:dyDescent="0.35"/>
    <row r="581" customFormat="1" x14ac:dyDescent="0.35"/>
    <row r="582" customFormat="1" x14ac:dyDescent="0.35"/>
    <row r="583" customFormat="1" x14ac:dyDescent="0.35"/>
    <row r="584" customFormat="1" x14ac:dyDescent="0.35"/>
    <row r="585" customFormat="1" x14ac:dyDescent="0.35"/>
    <row r="586" customFormat="1" x14ac:dyDescent="0.35"/>
    <row r="587" customFormat="1" x14ac:dyDescent="0.35"/>
    <row r="588" customFormat="1" x14ac:dyDescent="0.35"/>
    <row r="589" customFormat="1" x14ac:dyDescent="0.35"/>
    <row r="590" customFormat="1" x14ac:dyDescent="0.35"/>
    <row r="591" customFormat="1" x14ac:dyDescent="0.35"/>
    <row r="592" customFormat="1" x14ac:dyDescent="0.35"/>
    <row r="593" customFormat="1" x14ac:dyDescent="0.35"/>
    <row r="594" customFormat="1" x14ac:dyDescent="0.35"/>
    <row r="595" customFormat="1" x14ac:dyDescent="0.35"/>
    <row r="596" customFormat="1" x14ac:dyDescent="0.35"/>
    <row r="597" customFormat="1" x14ac:dyDescent="0.35"/>
    <row r="598" customFormat="1" x14ac:dyDescent="0.35"/>
    <row r="599" customFormat="1" x14ac:dyDescent="0.35"/>
    <row r="600" customFormat="1" x14ac:dyDescent="0.35"/>
    <row r="601" customFormat="1" x14ac:dyDescent="0.35"/>
    <row r="602" customFormat="1" x14ac:dyDescent="0.35"/>
    <row r="603" customFormat="1" x14ac:dyDescent="0.35"/>
    <row r="604" customFormat="1" x14ac:dyDescent="0.35"/>
    <row r="605" customFormat="1" x14ac:dyDescent="0.35"/>
    <row r="606" customFormat="1" x14ac:dyDescent="0.35"/>
    <row r="607" customFormat="1" x14ac:dyDescent="0.35"/>
    <row r="608" customFormat="1" x14ac:dyDescent="0.35"/>
    <row r="609" customFormat="1" x14ac:dyDescent="0.35"/>
    <row r="610" customFormat="1" x14ac:dyDescent="0.35"/>
    <row r="611" customFormat="1" x14ac:dyDescent="0.35"/>
    <row r="612" customFormat="1" x14ac:dyDescent="0.35"/>
    <row r="613" customFormat="1" x14ac:dyDescent="0.35"/>
    <row r="614" customFormat="1" x14ac:dyDescent="0.35"/>
    <row r="615" customFormat="1" x14ac:dyDescent="0.35"/>
    <row r="616" customFormat="1" x14ac:dyDescent="0.35"/>
    <row r="617" customFormat="1" x14ac:dyDescent="0.35"/>
    <row r="618" customFormat="1" x14ac:dyDescent="0.35"/>
    <row r="619" customFormat="1" x14ac:dyDescent="0.35"/>
    <row r="620" customFormat="1" x14ac:dyDescent="0.35"/>
    <row r="621" customFormat="1" x14ac:dyDescent="0.35"/>
    <row r="622" customFormat="1" x14ac:dyDescent="0.35"/>
    <row r="623" customFormat="1" x14ac:dyDescent="0.35"/>
    <row r="624" customFormat="1" x14ac:dyDescent="0.35"/>
    <row r="625" customFormat="1" x14ac:dyDescent="0.35"/>
    <row r="626" customFormat="1" x14ac:dyDescent="0.35"/>
    <row r="627" customFormat="1" x14ac:dyDescent="0.35"/>
    <row r="628" customFormat="1" x14ac:dyDescent="0.35"/>
    <row r="629" customFormat="1" x14ac:dyDescent="0.35"/>
    <row r="630" customFormat="1" x14ac:dyDescent="0.35"/>
    <row r="631" customFormat="1" x14ac:dyDescent="0.35"/>
    <row r="632" customFormat="1" x14ac:dyDescent="0.35"/>
    <row r="633" customFormat="1" x14ac:dyDescent="0.35"/>
    <row r="634" customFormat="1" x14ac:dyDescent="0.35"/>
    <row r="635" customFormat="1" x14ac:dyDescent="0.35"/>
    <row r="636" customFormat="1" x14ac:dyDescent="0.35"/>
    <row r="637" customFormat="1" x14ac:dyDescent="0.35"/>
    <row r="638" customFormat="1" x14ac:dyDescent="0.35"/>
    <row r="639" customFormat="1" x14ac:dyDescent="0.35"/>
    <row r="640" customFormat="1" x14ac:dyDescent="0.35"/>
    <row r="641" customFormat="1" x14ac:dyDescent="0.35"/>
    <row r="642" customFormat="1" x14ac:dyDescent="0.35"/>
    <row r="643" customFormat="1" x14ac:dyDescent="0.35"/>
    <row r="644" customFormat="1" x14ac:dyDescent="0.35"/>
    <row r="645" customFormat="1" x14ac:dyDescent="0.35"/>
    <row r="646" customFormat="1" x14ac:dyDescent="0.35"/>
    <row r="647" customFormat="1" x14ac:dyDescent="0.35"/>
    <row r="648" customFormat="1" x14ac:dyDescent="0.35"/>
    <row r="649" customFormat="1" x14ac:dyDescent="0.35"/>
    <row r="650" customFormat="1" x14ac:dyDescent="0.35"/>
    <row r="651" customFormat="1" x14ac:dyDescent="0.35"/>
    <row r="652" customFormat="1" x14ac:dyDescent="0.35"/>
    <row r="653" customFormat="1" x14ac:dyDescent="0.35"/>
    <row r="654" customFormat="1" x14ac:dyDescent="0.35"/>
    <row r="655" customFormat="1" x14ac:dyDescent="0.35"/>
    <row r="656" customFormat="1" x14ac:dyDescent="0.35"/>
    <row r="657" customFormat="1" x14ac:dyDescent="0.35"/>
    <row r="658" customFormat="1" x14ac:dyDescent="0.35"/>
    <row r="659" customFormat="1" x14ac:dyDescent="0.35"/>
    <row r="660" customFormat="1" x14ac:dyDescent="0.35"/>
    <row r="661" customFormat="1" x14ac:dyDescent="0.35"/>
    <row r="662" customFormat="1" x14ac:dyDescent="0.35"/>
    <row r="663" customFormat="1" x14ac:dyDescent="0.35"/>
    <row r="664" customFormat="1" x14ac:dyDescent="0.35"/>
    <row r="665" customFormat="1" x14ac:dyDescent="0.35"/>
    <row r="666" customFormat="1" x14ac:dyDescent="0.35"/>
    <row r="667" customFormat="1" x14ac:dyDescent="0.35"/>
    <row r="668" customFormat="1" x14ac:dyDescent="0.35"/>
    <row r="669" customFormat="1" x14ac:dyDescent="0.35"/>
    <row r="670" customFormat="1" x14ac:dyDescent="0.35"/>
    <row r="671" customFormat="1" x14ac:dyDescent="0.35"/>
    <row r="672" customFormat="1" x14ac:dyDescent="0.35"/>
    <row r="673" customFormat="1" x14ac:dyDescent="0.35"/>
    <row r="674" customFormat="1" x14ac:dyDescent="0.35"/>
    <row r="675" customFormat="1" x14ac:dyDescent="0.35"/>
    <row r="676" customFormat="1" x14ac:dyDescent="0.35"/>
    <row r="677" customFormat="1" x14ac:dyDescent="0.35"/>
    <row r="678" customFormat="1" x14ac:dyDescent="0.35"/>
    <row r="679" customFormat="1" x14ac:dyDescent="0.35"/>
    <row r="680" customFormat="1" x14ac:dyDescent="0.35"/>
    <row r="681" customFormat="1" x14ac:dyDescent="0.35"/>
    <row r="682" customFormat="1" x14ac:dyDescent="0.35"/>
    <row r="683" customFormat="1" x14ac:dyDescent="0.35"/>
    <row r="684" customFormat="1" x14ac:dyDescent="0.35"/>
    <row r="685" customFormat="1" x14ac:dyDescent="0.35"/>
    <row r="686" customFormat="1" x14ac:dyDescent="0.35"/>
    <row r="687" customFormat="1" x14ac:dyDescent="0.35"/>
    <row r="688" customFormat="1" x14ac:dyDescent="0.35"/>
    <row r="689" customFormat="1" x14ac:dyDescent="0.35"/>
    <row r="690" customFormat="1" x14ac:dyDescent="0.35"/>
    <row r="691" customFormat="1" x14ac:dyDescent="0.35"/>
    <row r="692" customFormat="1" x14ac:dyDescent="0.35"/>
    <row r="693" customFormat="1" x14ac:dyDescent="0.35"/>
    <row r="694" customFormat="1" x14ac:dyDescent="0.35"/>
    <row r="695" customFormat="1" x14ac:dyDescent="0.35"/>
    <row r="696" customFormat="1" x14ac:dyDescent="0.35"/>
    <row r="697" customFormat="1" x14ac:dyDescent="0.35"/>
    <row r="698" customFormat="1" x14ac:dyDescent="0.35"/>
    <row r="699" customFormat="1" x14ac:dyDescent="0.35"/>
    <row r="700" customFormat="1" x14ac:dyDescent="0.35"/>
    <row r="701" customFormat="1" x14ac:dyDescent="0.35"/>
    <row r="702" customFormat="1" x14ac:dyDescent="0.35"/>
    <row r="703" customFormat="1" x14ac:dyDescent="0.35"/>
    <row r="704" customFormat="1" x14ac:dyDescent="0.35"/>
    <row r="705" customFormat="1" x14ac:dyDescent="0.35"/>
    <row r="706" customFormat="1" x14ac:dyDescent="0.35"/>
    <row r="707" customFormat="1" x14ac:dyDescent="0.35"/>
    <row r="708" customFormat="1" x14ac:dyDescent="0.35"/>
    <row r="709" customFormat="1" x14ac:dyDescent="0.35"/>
    <row r="710" customFormat="1" x14ac:dyDescent="0.35"/>
    <row r="711" customFormat="1" x14ac:dyDescent="0.35"/>
    <row r="712" customFormat="1" x14ac:dyDescent="0.35"/>
    <row r="713" customFormat="1" x14ac:dyDescent="0.35"/>
    <row r="714" customFormat="1" x14ac:dyDescent="0.35"/>
    <row r="715" customFormat="1" x14ac:dyDescent="0.35"/>
    <row r="716" customFormat="1" x14ac:dyDescent="0.35"/>
    <row r="717" customFormat="1" x14ac:dyDescent="0.35"/>
    <row r="718" customFormat="1" x14ac:dyDescent="0.35"/>
    <row r="719" customFormat="1" x14ac:dyDescent="0.35"/>
    <row r="720" customFormat="1" x14ac:dyDescent="0.35"/>
    <row r="721" customFormat="1" x14ac:dyDescent="0.35"/>
    <row r="722" customFormat="1" x14ac:dyDescent="0.35"/>
    <row r="723" customFormat="1" x14ac:dyDescent="0.35"/>
    <row r="724" customFormat="1" x14ac:dyDescent="0.35"/>
    <row r="725" customFormat="1" x14ac:dyDescent="0.35"/>
    <row r="726" customFormat="1" x14ac:dyDescent="0.35"/>
    <row r="727" customFormat="1" x14ac:dyDescent="0.35"/>
    <row r="728" customFormat="1" x14ac:dyDescent="0.35"/>
    <row r="729" customFormat="1" x14ac:dyDescent="0.35"/>
    <row r="730" customFormat="1" x14ac:dyDescent="0.35"/>
    <row r="731" customFormat="1" x14ac:dyDescent="0.35"/>
    <row r="732" customFormat="1" x14ac:dyDescent="0.35"/>
    <row r="733" customFormat="1" x14ac:dyDescent="0.35"/>
    <row r="734" customFormat="1" x14ac:dyDescent="0.35"/>
    <row r="735" customFormat="1" x14ac:dyDescent="0.35"/>
    <row r="736" customFormat="1" x14ac:dyDescent="0.35"/>
    <row r="737" customFormat="1" x14ac:dyDescent="0.35"/>
    <row r="738" customFormat="1" x14ac:dyDescent="0.35"/>
    <row r="739" customFormat="1" x14ac:dyDescent="0.35"/>
    <row r="740" customFormat="1" x14ac:dyDescent="0.35"/>
    <row r="741" customFormat="1" x14ac:dyDescent="0.35"/>
    <row r="742" customFormat="1" x14ac:dyDescent="0.35"/>
    <row r="743" customFormat="1" x14ac:dyDescent="0.35"/>
    <row r="744" customFormat="1" x14ac:dyDescent="0.35"/>
    <row r="745" customFormat="1" x14ac:dyDescent="0.35"/>
    <row r="746" customFormat="1" x14ac:dyDescent="0.35"/>
    <row r="747" customFormat="1" x14ac:dyDescent="0.35"/>
    <row r="748" customFormat="1" x14ac:dyDescent="0.35"/>
    <row r="749" customFormat="1" x14ac:dyDescent="0.35"/>
    <row r="750" customFormat="1" x14ac:dyDescent="0.35"/>
    <row r="751" customFormat="1" x14ac:dyDescent="0.35"/>
    <row r="752" customFormat="1" x14ac:dyDescent="0.35"/>
    <row r="753" customFormat="1" x14ac:dyDescent="0.35"/>
    <row r="754" customFormat="1" x14ac:dyDescent="0.35"/>
    <row r="755" customFormat="1" x14ac:dyDescent="0.35"/>
    <row r="756" customFormat="1" x14ac:dyDescent="0.35"/>
    <row r="757" customFormat="1" x14ac:dyDescent="0.35"/>
    <row r="758" customFormat="1" x14ac:dyDescent="0.35"/>
    <row r="759" customFormat="1" x14ac:dyDescent="0.35"/>
    <row r="760" customFormat="1" x14ac:dyDescent="0.35"/>
    <row r="761" customFormat="1" x14ac:dyDescent="0.35"/>
    <row r="762" customFormat="1" x14ac:dyDescent="0.35"/>
    <row r="763" customFormat="1" x14ac:dyDescent="0.35"/>
    <row r="764" customFormat="1" x14ac:dyDescent="0.35"/>
    <row r="765" customFormat="1" x14ac:dyDescent="0.35"/>
    <row r="766" customFormat="1" x14ac:dyDescent="0.35"/>
    <row r="767" customFormat="1" x14ac:dyDescent="0.35"/>
    <row r="768" customFormat="1" x14ac:dyDescent="0.35"/>
    <row r="769" customFormat="1" x14ac:dyDescent="0.35"/>
    <row r="770" customFormat="1" x14ac:dyDescent="0.35"/>
    <row r="771" customFormat="1" x14ac:dyDescent="0.35"/>
    <row r="772" customFormat="1" x14ac:dyDescent="0.35"/>
    <row r="773" customFormat="1" x14ac:dyDescent="0.35"/>
    <row r="774" customFormat="1" x14ac:dyDescent="0.35"/>
    <row r="775" customFormat="1" x14ac:dyDescent="0.35"/>
    <row r="776" customFormat="1" x14ac:dyDescent="0.35"/>
    <row r="777" customFormat="1" x14ac:dyDescent="0.35"/>
    <row r="778" customFormat="1" x14ac:dyDescent="0.35"/>
    <row r="779" customFormat="1" x14ac:dyDescent="0.35"/>
    <row r="780" customFormat="1" x14ac:dyDescent="0.35"/>
    <row r="781" customFormat="1" x14ac:dyDescent="0.35"/>
    <row r="782" customFormat="1" x14ac:dyDescent="0.35"/>
    <row r="783" customFormat="1" x14ac:dyDescent="0.35"/>
    <row r="784" customFormat="1" x14ac:dyDescent="0.35"/>
    <row r="785" customFormat="1" x14ac:dyDescent="0.35"/>
    <row r="786" customFormat="1" x14ac:dyDescent="0.35"/>
    <row r="787" customFormat="1" x14ac:dyDescent="0.35"/>
    <row r="788" customFormat="1" x14ac:dyDescent="0.35"/>
    <row r="789" customFormat="1" x14ac:dyDescent="0.35"/>
    <row r="790" customFormat="1" x14ac:dyDescent="0.35"/>
    <row r="791" customFormat="1" x14ac:dyDescent="0.35"/>
    <row r="792" customFormat="1" x14ac:dyDescent="0.35"/>
    <row r="793" customFormat="1" x14ac:dyDescent="0.35"/>
    <row r="794" customFormat="1" x14ac:dyDescent="0.35"/>
    <row r="795" customFormat="1" x14ac:dyDescent="0.35"/>
    <row r="796" customFormat="1" x14ac:dyDescent="0.35"/>
    <row r="797" customFormat="1" x14ac:dyDescent="0.35"/>
    <row r="798" customFormat="1" x14ac:dyDescent="0.35"/>
    <row r="799" customFormat="1" x14ac:dyDescent="0.35"/>
    <row r="800" customFormat="1" x14ac:dyDescent="0.35"/>
    <row r="801" customFormat="1" x14ac:dyDescent="0.35"/>
    <row r="802" customFormat="1" x14ac:dyDescent="0.35"/>
    <row r="803" customFormat="1" x14ac:dyDescent="0.35"/>
    <row r="804" customFormat="1" x14ac:dyDescent="0.35"/>
    <row r="805" customFormat="1" x14ac:dyDescent="0.35"/>
    <row r="806" customFormat="1" x14ac:dyDescent="0.35"/>
    <row r="807" customFormat="1" x14ac:dyDescent="0.35"/>
    <row r="808" customFormat="1" x14ac:dyDescent="0.35"/>
    <row r="809" customFormat="1" x14ac:dyDescent="0.35"/>
    <row r="810" customFormat="1" x14ac:dyDescent="0.35"/>
    <row r="811" customFormat="1" x14ac:dyDescent="0.35"/>
    <row r="812" customFormat="1" x14ac:dyDescent="0.35"/>
    <row r="813" customFormat="1" x14ac:dyDescent="0.35"/>
    <row r="814" customFormat="1" x14ac:dyDescent="0.35"/>
    <row r="815" customFormat="1" x14ac:dyDescent="0.35"/>
    <row r="816" customFormat="1" x14ac:dyDescent="0.35"/>
    <row r="817" customFormat="1" x14ac:dyDescent="0.35"/>
    <row r="818" customFormat="1" x14ac:dyDescent="0.35"/>
    <row r="819" customFormat="1" x14ac:dyDescent="0.35"/>
    <row r="820" customFormat="1" x14ac:dyDescent="0.35"/>
    <row r="821" customFormat="1" x14ac:dyDescent="0.35"/>
    <row r="822" customFormat="1" x14ac:dyDescent="0.35"/>
    <row r="823" customFormat="1" x14ac:dyDescent="0.35"/>
    <row r="824" customFormat="1" x14ac:dyDescent="0.35"/>
    <row r="825" customFormat="1" x14ac:dyDescent="0.35"/>
    <row r="826" customFormat="1" x14ac:dyDescent="0.35"/>
    <row r="827" customFormat="1" x14ac:dyDescent="0.35"/>
    <row r="828" customFormat="1" x14ac:dyDescent="0.35"/>
    <row r="829" customFormat="1" x14ac:dyDescent="0.35"/>
    <row r="830" customFormat="1" x14ac:dyDescent="0.35"/>
    <row r="831" customFormat="1" x14ac:dyDescent="0.35"/>
    <row r="832" customFormat="1" x14ac:dyDescent="0.35"/>
    <row r="833" customFormat="1" x14ac:dyDescent="0.35"/>
    <row r="834" customFormat="1" x14ac:dyDescent="0.35"/>
    <row r="835" customFormat="1" x14ac:dyDescent="0.35"/>
    <row r="836" customFormat="1" x14ac:dyDescent="0.35"/>
    <row r="837" customFormat="1" x14ac:dyDescent="0.35"/>
    <row r="838" customFormat="1" x14ac:dyDescent="0.35"/>
    <row r="839" customFormat="1" x14ac:dyDescent="0.35"/>
    <row r="840" customFormat="1" x14ac:dyDescent="0.35"/>
    <row r="841" customFormat="1" x14ac:dyDescent="0.35"/>
    <row r="842" customFormat="1" x14ac:dyDescent="0.35"/>
    <row r="843" customFormat="1" x14ac:dyDescent="0.35"/>
    <row r="844" customFormat="1" x14ac:dyDescent="0.35"/>
    <row r="845" customFormat="1" x14ac:dyDescent="0.35"/>
    <row r="846" customFormat="1" x14ac:dyDescent="0.35"/>
    <row r="847" customFormat="1" x14ac:dyDescent="0.35"/>
    <row r="848" customFormat="1" x14ac:dyDescent="0.35"/>
    <row r="849" customFormat="1" x14ac:dyDescent="0.35"/>
    <row r="850" customFormat="1" x14ac:dyDescent="0.35"/>
    <row r="851" customFormat="1" x14ac:dyDescent="0.35"/>
    <row r="852" customFormat="1" x14ac:dyDescent="0.35"/>
    <row r="853" customFormat="1" x14ac:dyDescent="0.35"/>
    <row r="854" customFormat="1" x14ac:dyDescent="0.35"/>
    <row r="855" customFormat="1" x14ac:dyDescent="0.35"/>
    <row r="856" customFormat="1" x14ac:dyDescent="0.35"/>
    <row r="857" customFormat="1" x14ac:dyDescent="0.35"/>
    <row r="858" customFormat="1" x14ac:dyDescent="0.35"/>
    <row r="859" customFormat="1" x14ac:dyDescent="0.35"/>
    <row r="860" customFormat="1" x14ac:dyDescent="0.35"/>
    <row r="861" customFormat="1" x14ac:dyDescent="0.35"/>
    <row r="862" customFormat="1" x14ac:dyDescent="0.35"/>
    <row r="863" customFormat="1" x14ac:dyDescent="0.35"/>
    <row r="864" customFormat="1" x14ac:dyDescent="0.35"/>
    <row r="865" customFormat="1" x14ac:dyDescent="0.35"/>
    <row r="866" customFormat="1" x14ac:dyDescent="0.35"/>
    <row r="867" customFormat="1" x14ac:dyDescent="0.35"/>
    <row r="868" customFormat="1" x14ac:dyDescent="0.35"/>
    <row r="869" customFormat="1" x14ac:dyDescent="0.35"/>
    <row r="870" customFormat="1" x14ac:dyDescent="0.35"/>
    <row r="871" customFormat="1" x14ac:dyDescent="0.35"/>
    <row r="872" customFormat="1" x14ac:dyDescent="0.35"/>
    <row r="873" customFormat="1" x14ac:dyDescent="0.35"/>
    <row r="874" customFormat="1" x14ac:dyDescent="0.35"/>
    <row r="875" customFormat="1" x14ac:dyDescent="0.35"/>
    <row r="876" customFormat="1" x14ac:dyDescent="0.35"/>
    <row r="877" customFormat="1" x14ac:dyDescent="0.35"/>
    <row r="878" customFormat="1" x14ac:dyDescent="0.35"/>
    <row r="879" customFormat="1" x14ac:dyDescent="0.35"/>
    <row r="880" customFormat="1" x14ac:dyDescent="0.35"/>
    <row r="881" customFormat="1" x14ac:dyDescent="0.35"/>
    <row r="882" customFormat="1" x14ac:dyDescent="0.35"/>
    <row r="883" customFormat="1" x14ac:dyDescent="0.35"/>
    <row r="884" customFormat="1" x14ac:dyDescent="0.35"/>
    <row r="885" customFormat="1" x14ac:dyDescent="0.35"/>
    <row r="886" customFormat="1" x14ac:dyDescent="0.35"/>
    <row r="887" customFormat="1" x14ac:dyDescent="0.35"/>
    <row r="888" customFormat="1" x14ac:dyDescent="0.35"/>
    <row r="889" customFormat="1" x14ac:dyDescent="0.35"/>
    <row r="890" customFormat="1" x14ac:dyDescent="0.35"/>
    <row r="891" customFormat="1" x14ac:dyDescent="0.35"/>
    <row r="892" customFormat="1" x14ac:dyDescent="0.35"/>
    <row r="893" customFormat="1" x14ac:dyDescent="0.35"/>
    <row r="894" customFormat="1" x14ac:dyDescent="0.35"/>
    <row r="895" customFormat="1" x14ac:dyDescent="0.35"/>
    <row r="896" customFormat="1" x14ac:dyDescent="0.35"/>
    <row r="897" customFormat="1" x14ac:dyDescent="0.35"/>
    <row r="898" customFormat="1" x14ac:dyDescent="0.35"/>
    <row r="899" customFormat="1" x14ac:dyDescent="0.35"/>
    <row r="900" customFormat="1" x14ac:dyDescent="0.35"/>
    <row r="901" customFormat="1" x14ac:dyDescent="0.35"/>
    <row r="902" customFormat="1" x14ac:dyDescent="0.35"/>
    <row r="903" customFormat="1" x14ac:dyDescent="0.35"/>
    <row r="904" customFormat="1" x14ac:dyDescent="0.35"/>
    <row r="905" customFormat="1" x14ac:dyDescent="0.35"/>
    <row r="906" customFormat="1" x14ac:dyDescent="0.35"/>
    <row r="907" customFormat="1" x14ac:dyDescent="0.35"/>
    <row r="908" customFormat="1" x14ac:dyDescent="0.35"/>
    <row r="909" customFormat="1" x14ac:dyDescent="0.35"/>
    <row r="910" customFormat="1" x14ac:dyDescent="0.35"/>
    <row r="911" customFormat="1" x14ac:dyDescent="0.35"/>
    <row r="912" customFormat="1" x14ac:dyDescent="0.35"/>
    <row r="913" customFormat="1" x14ac:dyDescent="0.35"/>
    <row r="914" customFormat="1" x14ac:dyDescent="0.35"/>
    <row r="915" customFormat="1" x14ac:dyDescent="0.35"/>
    <row r="916" customFormat="1" x14ac:dyDescent="0.35"/>
    <row r="917" customFormat="1" x14ac:dyDescent="0.35"/>
    <row r="918" customFormat="1" x14ac:dyDescent="0.35"/>
    <row r="919" customFormat="1" x14ac:dyDescent="0.35"/>
    <row r="920" customFormat="1" x14ac:dyDescent="0.35"/>
    <row r="921" customFormat="1" x14ac:dyDescent="0.35"/>
    <row r="922" customFormat="1" x14ac:dyDescent="0.35"/>
    <row r="923" customFormat="1" x14ac:dyDescent="0.35"/>
    <row r="924" customFormat="1" x14ac:dyDescent="0.35"/>
    <row r="925" customFormat="1" x14ac:dyDescent="0.35"/>
    <row r="926" customFormat="1" x14ac:dyDescent="0.35"/>
    <row r="927" customFormat="1" x14ac:dyDescent="0.35"/>
    <row r="928" customFormat="1" x14ac:dyDescent="0.35"/>
    <row r="929" customFormat="1" x14ac:dyDescent="0.35"/>
    <row r="930" customFormat="1" x14ac:dyDescent="0.35"/>
    <row r="931" customFormat="1" x14ac:dyDescent="0.35"/>
    <row r="932" customFormat="1" x14ac:dyDescent="0.35"/>
    <row r="933" customFormat="1" x14ac:dyDescent="0.35"/>
    <row r="934" customFormat="1" x14ac:dyDescent="0.35"/>
    <row r="935" customFormat="1" x14ac:dyDescent="0.35"/>
    <row r="936" customFormat="1" x14ac:dyDescent="0.35"/>
    <row r="937" customFormat="1" x14ac:dyDescent="0.35"/>
    <row r="938" customFormat="1" x14ac:dyDescent="0.35"/>
    <row r="939" customFormat="1" x14ac:dyDescent="0.35"/>
    <row r="940" customFormat="1" x14ac:dyDescent="0.35"/>
    <row r="941" customFormat="1" x14ac:dyDescent="0.35"/>
    <row r="942" customFormat="1" x14ac:dyDescent="0.35"/>
    <row r="943" customFormat="1" x14ac:dyDescent="0.35"/>
    <row r="944" customFormat="1" x14ac:dyDescent="0.35"/>
    <row r="945" customFormat="1" x14ac:dyDescent="0.35"/>
    <row r="946" customFormat="1" x14ac:dyDescent="0.35"/>
    <row r="947" customFormat="1" x14ac:dyDescent="0.35"/>
    <row r="948" customFormat="1" x14ac:dyDescent="0.35"/>
    <row r="949" customFormat="1" x14ac:dyDescent="0.35"/>
    <row r="950" customFormat="1" x14ac:dyDescent="0.35"/>
    <row r="951" customFormat="1" x14ac:dyDescent="0.35"/>
    <row r="952" customFormat="1" x14ac:dyDescent="0.35"/>
    <row r="953" customFormat="1" x14ac:dyDescent="0.35"/>
    <row r="954" customFormat="1" x14ac:dyDescent="0.35"/>
    <row r="955" customFormat="1" x14ac:dyDescent="0.35"/>
    <row r="956" customFormat="1" x14ac:dyDescent="0.35"/>
    <row r="957" customFormat="1" x14ac:dyDescent="0.35"/>
    <row r="958" customFormat="1" x14ac:dyDescent="0.35"/>
    <row r="959" customFormat="1" x14ac:dyDescent="0.35"/>
    <row r="960" customFormat="1" x14ac:dyDescent="0.35"/>
    <row r="961" customFormat="1" x14ac:dyDescent="0.35"/>
    <row r="962" customFormat="1" x14ac:dyDescent="0.35"/>
    <row r="963" customFormat="1" x14ac:dyDescent="0.35"/>
    <row r="964" customFormat="1" x14ac:dyDescent="0.35"/>
    <row r="965" customFormat="1" x14ac:dyDescent="0.35"/>
    <row r="966" customFormat="1" x14ac:dyDescent="0.35"/>
    <row r="967" customFormat="1" x14ac:dyDescent="0.35"/>
    <row r="968" customFormat="1" x14ac:dyDescent="0.35"/>
    <row r="969" customFormat="1" x14ac:dyDescent="0.35"/>
    <row r="970" customFormat="1" x14ac:dyDescent="0.35"/>
    <row r="971" customFormat="1" x14ac:dyDescent="0.35"/>
    <row r="972" customFormat="1" x14ac:dyDescent="0.35"/>
    <row r="973" customFormat="1" x14ac:dyDescent="0.35"/>
    <row r="974" customFormat="1" x14ac:dyDescent="0.35"/>
    <row r="975" customFormat="1" x14ac:dyDescent="0.35"/>
    <row r="976" customFormat="1" x14ac:dyDescent="0.35"/>
    <row r="977" customFormat="1" x14ac:dyDescent="0.35"/>
    <row r="978" customFormat="1" x14ac:dyDescent="0.35"/>
    <row r="979" customFormat="1" x14ac:dyDescent="0.35"/>
    <row r="980" customFormat="1" x14ac:dyDescent="0.35"/>
    <row r="981" customFormat="1" x14ac:dyDescent="0.35"/>
    <row r="982" customFormat="1" x14ac:dyDescent="0.35"/>
    <row r="983" customFormat="1" x14ac:dyDescent="0.35"/>
    <row r="984" customFormat="1" x14ac:dyDescent="0.35"/>
    <row r="985" customFormat="1" x14ac:dyDescent="0.35"/>
    <row r="986" customFormat="1" x14ac:dyDescent="0.35"/>
    <row r="987" customFormat="1" x14ac:dyDescent="0.35"/>
    <row r="988" customFormat="1" x14ac:dyDescent="0.35"/>
    <row r="989" customFormat="1" x14ac:dyDescent="0.35"/>
    <row r="990" customFormat="1" x14ac:dyDescent="0.35"/>
    <row r="991" customFormat="1" x14ac:dyDescent="0.35"/>
    <row r="992" customFormat="1" x14ac:dyDescent="0.35"/>
    <row r="993" customFormat="1" x14ac:dyDescent="0.35"/>
    <row r="994" customFormat="1" x14ac:dyDescent="0.35"/>
    <row r="995" customFormat="1" x14ac:dyDescent="0.35"/>
    <row r="996" customFormat="1" x14ac:dyDescent="0.35"/>
    <row r="997" customFormat="1" x14ac:dyDescent="0.35"/>
    <row r="998" customFormat="1" x14ac:dyDescent="0.35"/>
    <row r="999" customFormat="1" x14ac:dyDescent="0.35"/>
    <row r="1000" customFormat="1" x14ac:dyDescent="0.35"/>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99AFC-407D-4275-A14B-1B4004F2FE91}">
  <dimension ref="A1:AM1002"/>
  <sheetViews>
    <sheetView topLeftCell="AA1" workbookViewId="0">
      <selection activeCell="AD1" sqref="AD1:AG1"/>
    </sheetView>
  </sheetViews>
  <sheetFormatPr defaultRowHeight="14.5" x14ac:dyDescent="0.35"/>
  <cols>
    <col min="1" max="1" width="6.81640625" bestFit="1" customWidth="1"/>
    <col min="2" max="2" width="9.7265625" bestFit="1" customWidth="1"/>
    <col min="3" max="3" width="12.1796875" bestFit="1" customWidth="1"/>
    <col min="5" max="5" width="18.81640625" bestFit="1" customWidth="1"/>
    <col min="6" max="6" width="15.26953125" bestFit="1" customWidth="1"/>
    <col min="7" max="7" width="9.81640625" bestFit="1" customWidth="1"/>
    <col min="8" max="8" width="7.26953125" bestFit="1" customWidth="1"/>
    <col min="9" max="9" width="5.81640625" bestFit="1" customWidth="1"/>
    <col min="10" max="10" width="4.81640625" bestFit="1" customWidth="1"/>
    <col min="11" max="11" width="10.7265625" customWidth="1"/>
    <col min="12" max="12" width="7.26953125" bestFit="1" customWidth="1"/>
    <col min="13" max="13" width="9.7265625" bestFit="1" customWidth="1"/>
    <col min="14" max="14" width="13.36328125" bestFit="1" customWidth="1"/>
    <col min="15" max="15" width="12.36328125" style="4" bestFit="1" customWidth="1"/>
    <col min="17" max="17" width="29.26953125" bestFit="1" customWidth="1"/>
    <col min="18" max="18" width="15.26953125" bestFit="1" customWidth="1"/>
    <col min="19" max="19" width="9.81640625" bestFit="1" customWidth="1"/>
    <col min="20" max="20" width="7.26953125" bestFit="1" customWidth="1"/>
    <col min="21" max="21" width="5.81640625" bestFit="1" customWidth="1"/>
    <col min="22" max="22" width="4.81640625" bestFit="1" customWidth="1"/>
    <col min="23" max="24" width="10.7265625" bestFit="1" customWidth="1"/>
    <col min="25" max="25" width="19.90625" bestFit="1" customWidth="1"/>
    <col min="26" max="26" width="8.54296875" bestFit="1" customWidth="1"/>
    <col min="27" max="27" width="29.54296875" bestFit="1" customWidth="1"/>
    <col min="28" max="28" width="6.453125" bestFit="1" customWidth="1"/>
    <col min="29" max="29" width="9.7265625" bestFit="1" customWidth="1"/>
    <col min="30" max="30" width="15.54296875" bestFit="1" customWidth="1"/>
    <col min="31" max="31" width="12.36328125" bestFit="1" customWidth="1"/>
    <col min="32" max="32" width="15.26953125" bestFit="1" customWidth="1"/>
    <col min="33" max="33" width="18.81640625" bestFit="1" customWidth="1"/>
    <col min="34" max="34" width="15.26953125" bestFit="1" customWidth="1"/>
    <col min="35" max="35" width="9.08984375" bestFit="1" customWidth="1"/>
    <col min="36" max="36" width="10.26953125" bestFit="1" customWidth="1"/>
    <col min="37" max="37" width="9.7265625" bestFit="1" customWidth="1"/>
    <col min="38" max="38" width="6.36328125" bestFit="1" customWidth="1"/>
    <col min="39" max="39" width="10.7265625" bestFit="1" customWidth="1"/>
    <col min="40" max="117" width="8.54296875" bestFit="1" customWidth="1"/>
    <col min="118" max="118" width="10.7265625" bestFit="1" customWidth="1"/>
  </cols>
  <sheetData>
    <row r="1" spans="1:39" ht="24" customHeight="1" x14ac:dyDescent="0.35">
      <c r="A1" s="65" t="s">
        <v>326</v>
      </c>
      <c r="B1" s="66"/>
      <c r="C1" s="66"/>
      <c r="D1" s="66"/>
      <c r="E1" s="66"/>
      <c r="N1" s="65" t="s">
        <v>325</v>
      </c>
      <c r="O1" s="66"/>
      <c r="P1" s="66"/>
      <c r="Q1" s="66"/>
      <c r="Y1" s="67" t="s">
        <v>324</v>
      </c>
      <c r="Z1" s="66"/>
      <c r="AA1" s="66"/>
      <c r="AD1" s="68" t="s">
        <v>323</v>
      </c>
      <c r="AE1" s="69"/>
      <c r="AF1" s="69"/>
      <c r="AG1" s="69"/>
    </row>
    <row r="3" spans="1:39" x14ac:dyDescent="0.35">
      <c r="A3" s="32" t="s">
        <v>6</v>
      </c>
      <c r="B3" s="32" t="s">
        <v>196</v>
      </c>
      <c r="C3" s="33" t="s">
        <v>9</v>
      </c>
      <c r="E3" s="5" t="s">
        <v>312</v>
      </c>
      <c r="F3" s="5" t="s">
        <v>313</v>
      </c>
      <c r="M3" s="34" t="s">
        <v>196</v>
      </c>
      <c r="N3" s="32" t="s">
        <v>11</v>
      </c>
      <c r="O3" s="33" t="s">
        <v>9</v>
      </c>
      <c r="Q3" s="5" t="s">
        <v>327</v>
      </c>
      <c r="R3" s="5" t="s">
        <v>313</v>
      </c>
      <c r="Y3" s="37" t="s">
        <v>316</v>
      </c>
      <c r="AC3" s="37" t="s">
        <v>196</v>
      </c>
      <c r="AD3" s="38" t="s">
        <v>10</v>
      </c>
      <c r="AE3" s="39" t="s">
        <v>9</v>
      </c>
      <c r="AG3" s="5" t="s">
        <v>312</v>
      </c>
      <c r="AH3" s="5" t="s">
        <v>313</v>
      </c>
    </row>
    <row r="4" spans="1:39" x14ac:dyDescent="0.35">
      <c r="A4" s="32" t="s">
        <v>16</v>
      </c>
      <c r="B4" s="32" t="s">
        <v>206</v>
      </c>
      <c r="C4" s="33">
        <v>44</v>
      </c>
      <c r="E4" s="5" t="s">
        <v>315</v>
      </c>
      <c r="F4" t="s">
        <v>218</v>
      </c>
      <c r="G4" t="s">
        <v>200</v>
      </c>
      <c r="H4" t="s">
        <v>211</v>
      </c>
      <c r="I4" t="s">
        <v>206</v>
      </c>
      <c r="J4" t="s">
        <v>203</v>
      </c>
      <c r="K4" t="s">
        <v>314</v>
      </c>
      <c r="M4" s="35" t="s">
        <v>206</v>
      </c>
      <c r="N4" s="35" t="s">
        <v>18</v>
      </c>
      <c r="O4" s="36">
        <v>44</v>
      </c>
      <c r="Q4" s="5" t="s">
        <v>315</v>
      </c>
      <c r="R4" t="s">
        <v>218</v>
      </c>
      <c r="S4" t="s">
        <v>200</v>
      </c>
      <c r="T4" t="s">
        <v>211</v>
      </c>
      <c r="U4" t="s">
        <v>206</v>
      </c>
      <c r="V4" t="s">
        <v>203</v>
      </c>
      <c r="W4" t="s">
        <v>314</v>
      </c>
      <c r="Y4" s="32" t="str">
        <f>IF(AmazonSales!C2-AmazonSales!B2&lt;0,"",AmazonSales!C2-AmazonSales!B2)</f>
        <v/>
      </c>
      <c r="AC4" s="32" t="s">
        <v>206</v>
      </c>
      <c r="AD4" s="40" t="s">
        <v>17</v>
      </c>
      <c r="AE4" s="36">
        <v>44</v>
      </c>
      <c r="AG4" s="5" t="s">
        <v>315</v>
      </c>
      <c r="AH4" t="s">
        <v>41</v>
      </c>
      <c r="AI4" t="s">
        <v>17</v>
      </c>
      <c r="AJ4" t="s">
        <v>24</v>
      </c>
      <c r="AK4" t="s">
        <v>46</v>
      </c>
      <c r="AL4" t="s">
        <v>33</v>
      </c>
      <c r="AM4" t="s">
        <v>314</v>
      </c>
    </row>
    <row r="5" spans="1:39" x14ac:dyDescent="0.35">
      <c r="A5" s="32" t="s">
        <v>23</v>
      </c>
      <c r="B5" s="32" t="s">
        <v>203</v>
      </c>
      <c r="C5" s="33">
        <v>384</v>
      </c>
      <c r="E5" s="6" t="s">
        <v>45</v>
      </c>
      <c r="F5" s="4">
        <v>84</v>
      </c>
      <c r="G5" s="4">
        <v>2662</v>
      </c>
      <c r="H5" s="4">
        <v>210</v>
      </c>
      <c r="I5" s="4">
        <v>2063</v>
      </c>
      <c r="J5" s="4">
        <v>437</v>
      </c>
      <c r="K5" s="4">
        <v>5456</v>
      </c>
      <c r="M5" s="35" t="s">
        <v>203</v>
      </c>
      <c r="N5" s="35" t="s">
        <v>25</v>
      </c>
      <c r="O5" s="36">
        <v>384</v>
      </c>
      <c r="Q5" s="6" t="s">
        <v>18</v>
      </c>
      <c r="R5" s="4">
        <v>317</v>
      </c>
      <c r="S5" s="4">
        <v>2174</v>
      </c>
      <c r="T5" s="4">
        <v>1447</v>
      </c>
      <c r="U5" s="4">
        <v>2501</v>
      </c>
      <c r="V5" s="4">
        <v>522</v>
      </c>
      <c r="W5" s="4">
        <v>6961</v>
      </c>
      <c r="Y5" s="32">
        <f>IF(AmazonSales!C3-AmazonSales!B3&lt;0,"",AmazonSales!C3-AmazonSales!B3)</f>
        <v>2</v>
      </c>
      <c r="AA5" t="s">
        <v>317</v>
      </c>
      <c r="AC5" s="32" t="s">
        <v>203</v>
      </c>
      <c r="AD5" s="40" t="s">
        <v>24</v>
      </c>
      <c r="AE5" s="36">
        <v>384</v>
      </c>
      <c r="AG5" s="6" t="s">
        <v>218</v>
      </c>
      <c r="AH5" s="4">
        <v>548</v>
      </c>
      <c r="AI5" s="4"/>
      <c r="AJ5" s="4">
        <v>118</v>
      </c>
      <c r="AK5" s="4">
        <v>408</v>
      </c>
      <c r="AL5" s="4">
        <v>641</v>
      </c>
      <c r="AM5" s="4">
        <v>1715</v>
      </c>
    </row>
    <row r="6" spans="1:39" x14ac:dyDescent="0.35">
      <c r="A6" s="32" t="s">
        <v>28</v>
      </c>
      <c r="B6" s="32" t="s">
        <v>206</v>
      </c>
      <c r="C6" s="33">
        <v>776</v>
      </c>
      <c r="E6" s="6" t="s">
        <v>23</v>
      </c>
      <c r="F6" s="4">
        <v>394</v>
      </c>
      <c r="G6" s="4">
        <v>365</v>
      </c>
      <c r="H6" s="4">
        <v>711</v>
      </c>
      <c r="I6" s="4">
        <v>741</v>
      </c>
      <c r="J6" s="4">
        <v>1424</v>
      </c>
      <c r="K6" s="4">
        <v>3635</v>
      </c>
      <c r="M6" s="35" t="s">
        <v>206</v>
      </c>
      <c r="N6" s="35" t="s">
        <v>29</v>
      </c>
      <c r="O6" s="36">
        <v>776</v>
      </c>
      <c r="Q6" s="6" t="s">
        <v>25</v>
      </c>
      <c r="R6" s="4">
        <v>127</v>
      </c>
      <c r="S6" s="4">
        <v>6126</v>
      </c>
      <c r="T6" s="4">
        <v>1376</v>
      </c>
      <c r="U6" s="4">
        <v>4203</v>
      </c>
      <c r="V6" s="4">
        <v>1824</v>
      </c>
      <c r="W6" s="4">
        <v>13656</v>
      </c>
      <c r="Y6" s="32" t="str">
        <f>IF(AmazonSales!C4-AmazonSales!B4&lt;0,"",AmazonSales!C4-AmazonSales!B4)</f>
        <v/>
      </c>
      <c r="AA6">
        <v>3.7647058823529411</v>
      </c>
      <c r="AC6" s="32" t="s">
        <v>206</v>
      </c>
      <c r="AD6" s="40" t="s">
        <v>24</v>
      </c>
      <c r="AE6" s="36">
        <v>776</v>
      </c>
      <c r="AG6" s="6" t="s">
        <v>200</v>
      </c>
      <c r="AH6" s="4">
        <v>990</v>
      </c>
      <c r="AI6" s="4">
        <v>3398</v>
      </c>
      <c r="AJ6" s="4">
        <v>5490</v>
      </c>
      <c r="AK6" s="4">
        <v>3467</v>
      </c>
      <c r="AL6" s="4">
        <v>1864</v>
      </c>
      <c r="AM6" s="4">
        <v>15209</v>
      </c>
    </row>
    <row r="7" spans="1:39" x14ac:dyDescent="0.35">
      <c r="A7" s="32" t="s">
        <v>16</v>
      </c>
      <c r="B7" s="32" t="s">
        <v>206</v>
      </c>
      <c r="C7" s="33">
        <v>588</v>
      </c>
      <c r="E7" s="6" t="s">
        <v>16</v>
      </c>
      <c r="F7" s="4">
        <v>464</v>
      </c>
      <c r="G7" s="4">
        <v>6522</v>
      </c>
      <c r="H7" s="4">
        <v>788</v>
      </c>
      <c r="I7" s="4">
        <v>2131</v>
      </c>
      <c r="J7" s="4">
        <v>586</v>
      </c>
      <c r="K7" s="4">
        <v>10491</v>
      </c>
      <c r="M7" s="35" t="s">
        <v>206</v>
      </c>
      <c r="N7" s="35" t="s">
        <v>18</v>
      </c>
      <c r="O7" s="36">
        <v>588</v>
      </c>
      <c r="Q7" s="6" t="s">
        <v>29</v>
      </c>
      <c r="R7" s="4">
        <v>1271</v>
      </c>
      <c r="S7" s="4">
        <v>6909</v>
      </c>
      <c r="T7" s="4">
        <v>1049</v>
      </c>
      <c r="U7" s="4">
        <v>4247</v>
      </c>
      <c r="V7" s="4">
        <v>1165</v>
      </c>
      <c r="W7" s="4">
        <v>14641</v>
      </c>
      <c r="Y7" s="32" t="str">
        <f>IF(AmazonSales!C5-AmazonSales!B5&lt;0,"",AmazonSales!C5-AmazonSales!B5)</f>
        <v/>
      </c>
      <c r="AC7" s="32" t="s">
        <v>206</v>
      </c>
      <c r="AD7" s="40" t="s">
        <v>33</v>
      </c>
      <c r="AE7" s="36">
        <v>588</v>
      </c>
      <c r="AG7" s="6" t="s">
        <v>211</v>
      </c>
      <c r="AH7" s="4">
        <v>1064</v>
      </c>
      <c r="AI7" s="4">
        <v>686</v>
      </c>
      <c r="AJ7" s="4">
        <v>884</v>
      </c>
      <c r="AK7" s="4">
        <v>751</v>
      </c>
      <c r="AL7" s="4">
        <v>487</v>
      </c>
      <c r="AM7" s="4">
        <v>3872</v>
      </c>
    </row>
    <row r="8" spans="1:39" x14ac:dyDescent="0.35">
      <c r="A8" s="32" t="s">
        <v>16</v>
      </c>
      <c r="B8" s="32" t="s">
        <v>211</v>
      </c>
      <c r="C8" s="33">
        <v>59</v>
      </c>
      <c r="E8" s="6" t="s">
        <v>28</v>
      </c>
      <c r="F8" s="4">
        <v>423</v>
      </c>
      <c r="G8" s="4">
        <v>3938</v>
      </c>
      <c r="H8" s="4">
        <v>1032</v>
      </c>
      <c r="I8" s="4">
        <v>1881</v>
      </c>
      <c r="J8" s="4">
        <v>43</v>
      </c>
      <c r="K8" s="4">
        <v>7317</v>
      </c>
      <c r="M8" s="35" t="s">
        <v>211</v>
      </c>
      <c r="N8" s="35" t="s">
        <v>25</v>
      </c>
      <c r="O8" s="36">
        <v>59</v>
      </c>
      <c r="Q8" s="6" t="s">
        <v>314</v>
      </c>
      <c r="R8" s="4">
        <v>1715</v>
      </c>
      <c r="S8" s="4">
        <v>15209</v>
      </c>
      <c r="T8" s="4">
        <v>3872</v>
      </c>
      <c r="U8" s="4">
        <v>10951</v>
      </c>
      <c r="V8" s="4">
        <v>3511</v>
      </c>
      <c r="W8" s="4">
        <v>35258</v>
      </c>
      <c r="Y8" s="32">
        <f>IF(AmazonSales!C6-AmazonSales!B6&lt;0,"",AmazonSales!C6-AmazonSales!B6)</f>
        <v>3</v>
      </c>
      <c r="AC8" s="32" t="s">
        <v>211</v>
      </c>
      <c r="AD8" s="35" t="s">
        <v>33</v>
      </c>
      <c r="AE8" s="36">
        <v>59</v>
      </c>
      <c r="AG8" s="6" t="s">
        <v>206</v>
      </c>
      <c r="AH8" s="4">
        <v>1367</v>
      </c>
      <c r="AI8" s="4">
        <v>1661</v>
      </c>
      <c r="AJ8" s="4">
        <v>1439</v>
      </c>
      <c r="AK8" s="4">
        <v>2827</v>
      </c>
      <c r="AL8" s="4">
        <v>3657</v>
      </c>
      <c r="AM8" s="4">
        <v>10951</v>
      </c>
    </row>
    <row r="9" spans="1:39" x14ac:dyDescent="0.35">
      <c r="A9" s="32" t="s">
        <v>16</v>
      </c>
      <c r="B9" s="32" t="s">
        <v>211</v>
      </c>
      <c r="C9" s="33">
        <v>232</v>
      </c>
      <c r="E9" s="6" t="s">
        <v>50</v>
      </c>
      <c r="F9" s="4">
        <v>350</v>
      </c>
      <c r="G9" s="4">
        <v>1722</v>
      </c>
      <c r="H9" s="4">
        <v>1131</v>
      </c>
      <c r="I9" s="4">
        <v>4135</v>
      </c>
      <c r="J9" s="4">
        <v>1021</v>
      </c>
      <c r="K9" s="4">
        <v>8359</v>
      </c>
      <c r="M9" s="35" t="s">
        <v>211</v>
      </c>
      <c r="N9" s="35" t="s">
        <v>18</v>
      </c>
      <c r="O9" s="36">
        <v>232</v>
      </c>
      <c r="Y9" s="32" t="str">
        <f>IF(AmazonSales!C7-AmazonSales!B7&lt;0,"",AmazonSales!C7-AmazonSales!B7)</f>
        <v/>
      </c>
      <c r="AC9" s="32" t="s">
        <v>211</v>
      </c>
      <c r="AD9" s="35" t="s">
        <v>41</v>
      </c>
      <c r="AE9" s="36">
        <v>232</v>
      </c>
      <c r="AG9" s="6" t="s">
        <v>203</v>
      </c>
      <c r="AH9" s="4">
        <v>750</v>
      </c>
      <c r="AI9" s="4">
        <v>399</v>
      </c>
      <c r="AJ9" s="4">
        <v>1467</v>
      </c>
      <c r="AK9" s="4">
        <v>895</v>
      </c>
      <c r="AL9" s="4"/>
      <c r="AM9" s="4">
        <v>3511</v>
      </c>
    </row>
    <row r="10" spans="1:39" x14ac:dyDescent="0.35">
      <c r="A10" s="32" t="s">
        <v>45</v>
      </c>
      <c r="B10" s="32" t="s">
        <v>200</v>
      </c>
      <c r="C10" s="33">
        <v>315</v>
      </c>
      <c r="E10" s="6" t="s">
        <v>314</v>
      </c>
      <c r="F10" s="4">
        <v>1715</v>
      </c>
      <c r="G10" s="4">
        <v>15209</v>
      </c>
      <c r="H10" s="4">
        <v>3872</v>
      </c>
      <c r="I10" s="4">
        <v>10951</v>
      </c>
      <c r="J10" s="4">
        <v>3511</v>
      </c>
      <c r="K10" s="4">
        <v>35258</v>
      </c>
      <c r="M10" s="35" t="s">
        <v>200</v>
      </c>
      <c r="N10" s="35" t="s">
        <v>18</v>
      </c>
      <c r="O10" s="36">
        <v>315</v>
      </c>
      <c r="Y10" s="32" t="str">
        <f>IF(AmazonSales!C8-AmazonSales!B8&lt;0,"",AmazonSales!C8-AmazonSales!B8)</f>
        <v/>
      </c>
      <c r="AC10" s="32" t="s">
        <v>200</v>
      </c>
      <c r="AD10" s="35" t="s">
        <v>46</v>
      </c>
      <c r="AE10" s="36">
        <v>315</v>
      </c>
      <c r="AG10" s="6" t="s">
        <v>314</v>
      </c>
      <c r="AH10" s="4">
        <v>4719</v>
      </c>
      <c r="AI10" s="4">
        <v>6144</v>
      </c>
      <c r="AJ10" s="4">
        <v>9398</v>
      </c>
      <c r="AK10" s="4">
        <v>8348</v>
      </c>
      <c r="AL10" s="4">
        <v>6649</v>
      </c>
      <c r="AM10" s="4">
        <v>35258</v>
      </c>
    </row>
    <row r="11" spans="1:39" x14ac:dyDescent="0.35">
      <c r="A11" s="32" t="s">
        <v>50</v>
      </c>
      <c r="B11" s="32" t="s">
        <v>206</v>
      </c>
      <c r="C11" s="33">
        <v>185</v>
      </c>
      <c r="M11" s="35" t="s">
        <v>206</v>
      </c>
      <c r="N11" s="35" t="s">
        <v>18</v>
      </c>
      <c r="O11" s="36">
        <v>185</v>
      </c>
      <c r="Y11" s="32" t="str">
        <f>IF(AmazonSales!C9-AmazonSales!B9&lt;0,"",AmazonSales!C9-AmazonSales!B9)</f>
        <v/>
      </c>
      <c r="AC11" s="32" t="s">
        <v>206</v>
      </c>
      <c r="AD11" s="35" t="s">
        <v>33</v>
      </c>
      <c r="AE11" s="36">
        <v>185</v>
      </c>
    </row>
    <row r="12" spans="1:39" x14ac:dyDescent="0.35">
      <c r="A12" s="32" t="s">
        <v>45</v>
      </c>
      <c r="B12" s="32" t="s">
        <v>211</v>
      </c>
      <c r="C12" s="33">
        <v>88</v>
      </c>
      <c r="M12" s="35" t="s">
        <v>211</v>
      </c>
      <c r="N12" s="35" t="s">
        <v>29</v>
      </c>
      <c r="O12" s="36">
        <v>88</v>
      </c>
      <c r="Y12" s="32" t="str">
        <f>IF(AmazonSales!C10-AmazonSales!B10&lt;0,"",AmazonSales!C10-AmazonSales!B10)</f>
        <v/>
      </c>
      <c r="AC12" s="32" t="s">
        <v>211</v>
      </c>
      <c r="AD12" s="35" t="s">
        <v>24</v>
      </c>
      <c r="AE12" s="36">
        <v>88</v>
      </c>
    </row>
    <row r="13" spans="1:39" x14ac:dyDescent="0.35">
      <c r="A13" s="32" t="s">
        <v>28</v>
      </c>
      <c r="B13" s="32" t="s">
        <v>206</v>
      </c>
      <c r="C13" s="33">
        <v>564</v>
      </c>
      <c r="M13" s="35" t="s">
        <v>206</v>
      </c>
      <c r="N13" s="35" t="s">
        <v>29</v>
      </c>
      <c r="O13" s="36">
        <v>564</v>
      </c>
      <c r="Y13" s="32" t="str">
        <f>IF(AmazonSales!C11-AmazonSales!B11&lt;0,"",AmazonSales!C11-AmazonSales!B11)</f>
        <v/>
      </c>
      <c r="AC13" s="32" t="s">
        <v>206</v>
      </c>
      <c r="AD13" s="35" t="s">
        <v>46</v>
      </c>
      <c r="AE13" s="36">
        <v>564</v>
      </c>
    </row>
    <row r="14" spans="1:39" x14ac:dyDescent="0.35">
      <c r="A14" s="32" t="s">
        <v>28</v>
      </c>
      <c r="B14" s="32" t="s">
        <v>200</v>
      </c>
      <c r="C14" s="33">
        <v>249</v>
      </c>
      <c r="M14" s="35" t="s">
        <v>200</v>
      </c>
      <c r="N14" s="35" t="s">
        <v>18</v>
      </c>
      <c r="O14" s="36">
        <v>249</v>
      </c>
      <c r="Y14" s="32" t="str">
        <f>IF(AmazonSales!C12-AmazonSales!B12&lt;0,"",AmazonSales!C12-AmazonSales!B12)</f>
        <v/>
      </c>
      <c r="AC14" s="32" t="s">
        <v>200</v>
      </c>
      <c r="AD14" s="35" t="s">
        <v>41</v>
      </c>
      <c r="AE14" s="36">
        <v>249</v>
      </c>
    </row>
    <row r="15" spans="1:39" x14ac:dyDescent="0.35">
      <c r="A15" s="32" t="s">
        <v>45</v>
      </c>
      <c r="B15" s="32" t="s">
        <v>200</v>
      </c>
      <c r="C15" s="33">
        <v>741</v>
      </c>
      <c r="M15" s="35" t="s">
        <v>200</v>
      </c>
      <c r="N15" s="35" t="s">
        <v>29</v>
      </c>
      <c r="O15" s="36">
        <v>741</v>
      </c>
      <c r="Y15" s="32" t="str">
        <f>IF(AmazonSales!C13-AmazonSales!B13&lt;0,"",AmazonSales!C13-AmazonSales!B13)</f>
        <v/>
      </c>
      <c r="AC15" s="32" t="s">
        <v>200</v>
      </c>
      <c r="AD15" s="35" t="s">
        <v>41</v>
      </c>
      <c r="AE15" s="36">
        <v>741</v>
      </c>
    </row>
    <row r="16" spans="1:39" x14ac:dyDescent="0.35">
      <c r="A16" s="32" t="s">
        <v>45</v>
      </c>
      <c r="B16" s="32" t="s">
        <v>211</v>
      </c>
      <c r="C16" s="33">
        <v>96</v>
      </c>
      <c r="M16" s="35" t="s">
        <v>211</v>
      </c>
      <c r="N16" s="35" t="s">
        <v>18</v>
      </c>
      <c r="O16" s="36">
        <v>96</v>
      </c>
      <c r="Y16" s="32" t="str">
        <f>IF(AmazonSales!C14-AmazonSales!B14&lt;0,"",AmazonSales!C14-AmazonSales!B14)</f>
        <v/>
      </c>
      <c r="AC16" s="32" t="s">
        <v>211</v>
      </c>
      <c r="AD16" s="35" t="s">
        <v>17</v>
      </c>
      <c r="AE16" s="36">
        <v>96</v>
      </c>
    </row>
    <row r="17" spans="1:31" x14ac:dyDescent="0.35">
      <c r="A17" s="32" t="s">
        <v>50</v>
      </c>
      <c r="B17" s="32" t="s">
        <v>200</v>
      </c>
      <c r="C17" s="33">
        <v>370</v>
      </c>
      <c r="M17" s="35" t="s">
        <v>200</v>
      </c>
      <c r="N17" s="35" t="s">
        <v>18</v>
      </c>
      <c r="O17" s="36">
        <v>370</v>
      </c>
      <c r="Y17" s="32" t="str">
        <f>IF(AmazonSales!C15-AmazonSales!B15&lt;0,"",AmazonSales!C15-AmazonSales!B15)</f>
        <v/>
      </c>
      <c r="AC17" s="32" t="s">
        <v>200</v>
      </c>
      <c r="AD17" s="35" t="s">
        <v>17</v>
      </c>
      <c r="AE17" s="36">
        <v>370</v>
      </c>
    </row>
    <row r="18" spans="1:31" x14ac:dyDescent="0.35">
      <c r="A18" s="32" t="s">
        <v>28</v>
      </c>
      <c r="B18" s="32" t="s">
        <v>211</v>
      </c>
      <c r="C18" s="33">
        <v>27</v>
      </c>
      <c r="M18" s="35" t="s">
        <v>211</v>
      </c>
      <c r="N18" s="35" t="s">
        <v>18</v>
      </c>
      <c r="O18" s="36">
        <v>27</v>
      </c>
      <c r="Y18" s="32" t="str">
        <f>IF(AmazonSales!C16-AmazonSales!B16&lt;0,"",AmazonSales!C16-AmazonSales!B16)</f>
        <v/>
      </c>
      <c r="AC18" s="32" t="s">
        <v>211</v>
      </c>
      <c r="AD18" s="35" t="s">
        <v>24</v>
      </c>
      <c r="AE18" s="36">
        <v>27</v>
      </c>
    </row>
    <row r="19" spans="1:31" x14ac:dyDescent="0.35">
      <c r="A19" s="32" t="s">
        <v>28</v>
      </c>
      <c r="B19" s="32" t="s">
        <v>211</v>
      </c>
      <c r="C19" s="33">
        <v>81</v>
      </c>
      <c r="M19" s="35" t="s">
        <v>211</v>
      </c>
      <c r="N19" s="35" t="s">
        <v>29</v>
      </c>
      <c r="O19" s="36">
        <v>81</v>
      </c>
      <c r="Y19" s="32" t="str">
        <f>IF(AmazonSales!C17-AmazonSales!B17&lt;0,"",AmazonSales!C17-AmazonSales!B17)</f>
        <v/>
      </c>
      <c r="AC19" s="32" t="s">
        <v>211</v>
      </c>
      <c r="AD19" s="35" t="s">
        <v>46</v>
      </c>
      <c r="AE19" s="36">
        <v>81</v>
      </c>
    </row>
    <row r="20" spans="1:31" x14ac:dyDescent="0.35">
      <c r="A20" s="32" t="s">
        <v>23</v>
      </c>
      <c r="B20" s="32" t="s">
        <v>218</v>
      </c>
      <c r="C20" s="33">
        <v>63</v>
      </c>
      <c r="M20" s="35" t="s">
        <v>218</v>
      </c>
      <c r="N20" s="35" t="s">
        <v>25</v>
      </c>
      <c r="O20" s="36">
        <v>63</v>
      </c>
      <c r="Y20" s="32">
        <f>IF(AmazonSales!C18-AmazonSales!B18&lt;0,"",AmazonSales!C18-AmazonSales!B18)</f>
        <v>3</v>
      </c>
      <c r="AC20" s="32" t="s">
        <v>218</v>
      </c>
      <c r="AD20" s="35" t="s">
        <v>24</v>
      </c>
      <c r="AE20" s="36">
        <v>63</v>
      </c>
    </row>
    <row r="21" spans="1:31" x14ac:dyDescent="0.35">
      <c r="A21" s="32" t="s">
        <v>50</v>
      </c>
      <c r="B21" s="32" t="s">
        <v>218</v>
      </c>
      <c r="C21" s="33">
        <v>350</v>
      </c>
      <c r="M21" s="35" t="s">
        <v>218</v>
      </c>
      <c r="N21" s="35" t="s">
        <v>29</v>
      </c>
      <c r="O21" s="36">
        <v>350</v>
      </c>
      <c r="Y21" s="32" t="str">
        <f>IF(AmazonSales!C19-AmazonSales!B19&lt;0,"",AmazonSales!C19-AmazonSales!B19)</f>
        <v/>
      </c>
      <c r="AC21" s="32" t="s">
        <v>218</v>
      </c>
      <c r="AD21" s="35" t="s">
        <v>33</v>
      </c>
      <c r="AE21" s="36">
        <v>350</v>
      </c>
    </row>
    <row r="22" spans="1:31" x14ac:dyDescent="0.35">
      <c r="A22" s="32" t="s">
        <v>28</v>
      </c>
      <c r="B22" s="32" t="s">
        <v>211</v>
      </c>
      <c r="C22" s="33">
        <v>376</v>
      </c>
      <c r="M22" s="35" t="s">
        <v>211</v>
      </c>
      <c r="N22" s="35" t="s">
        <v>29</v>
      </c>
      <c r="O22" s="36">
        <v>376</v>
      </c>
      <c r="Y22" s="32" t="str">
        <f>IF(AmazonSales!C20-AmazonSales!B20&lt;0,"",AmazonSales!C20-AmazonSales!B20)</f>
        <v/>
      </c>
      <c r="AC22" s="32" t="s">
        <v>211</v>
      </c>
      <c r="AD22" s="35" t="s">
        <v>24</v>
      </c>
      <c r="AE22" s="36">
        <v>376</v>
      </c>
    </row>
    <row r="23" spans="1:31" x14ac:dyDescent="0.35">
      <c r="A23" s="32" t="s">
        <v>16</v>
      </c>
      <c r="B23" s="32" t="s">
        <v>200</v>
      </c>
      <c r="C23" s="33">
        <v>1626</v>
      </c>
      <c r="M23" s="35" t="s">
        <v>200</v>
      </c>
      <c r="N23" s="35" t="s">
        <v>29</v>
      </c>
      <c r="O23" s="36">
        <v>1626</v>
      </c>
      <c r="Y23" s="32" t="str">
        <f>IF(AmazonSales!C21-AmazonSales!B21&lt;0,"",AmazonSales!C21-AmazonSales!B21)</f>
        <v/>
      </c>
      <c r="AC23" s="32" t="s">
        <v>200</v>
      </c>
      <c r="AD23" s="35" t="s">
        <v>24</v>
      </c>
      <c r="AE23" s="36">
        <v>1626</v>
      </c>
    </row>
    <row r="24" spans="1:31" x14ac:dyDescent="0.35">
      <c r="A24" s="32" t="s">
        <v>45</v>
      </c>
      <c r="B24" s="32" t="s">
        <v>218</v>
      </c>
      <c r="C24" s="33">
        <v>84</v>
      </c>
      <c r="M24" s="35" t="s">
        <v>218</v>
      </c>
      <c r="N24" s="35" t="s">
        <v>29</v>
      </c>
      <c r="O24" s="36">
        <v>84</v>
      </c>
      <c r="Y24" s="32" t="str">
        <f>IF(AmazonSales!C22-AmazonSales!B22&lt;0,"",AmazonSales!C22-AmazonSales!B22)</f>
        <v/>
      </c>
      <c r="AC24" s="32" t="s">
        <v>218</v>
      </c>
      <c r="AD24" s="35" t="s">
        <v>33</v>
      </c>
      <c r="AE24" s="36">
        <v>84</v>
      </c>
    </row>
    <row r="25" spans="1:31" x14ac:dyDescent="0.35">
      <c r="A25" s="32" t="s">
        <v>50</v>
      </c>
      <c r="B25" s="32" t="s">
        <v>206</v>
      </c>
      <c r="C25" s="33">
        <v>230</v>
      </c>
      <c r="M25" s="35" t="s">
        <v>206</v>
      </c>
      <c r="N25" s="35" t="s">
        <v>29</v>
      </c>
      <c r="O25" s="36">
        <v>230</v>
      </c>
      <c r="Y25" s="32" t="str">
        <f>IF(AmazonSales!C23-AmazonSales!B23&lt;0,"",AmazonSales!C23-AmazonSales!B23)</f>
        <v/>
      </c>
      <c r="AC25" s="32" t="s">
        <v>206</v>
      </c>
      <c r="AD25" s="35" t="s">
        <v>33</v>
      </c>
      <c r="AE25" s="36">
        <v>230</v>
      </c>
    </row>
    <row r="26" spans="1:31" x14ac:dyDescent="0.35">
      <c r="A26" s="32" t="s">
        <v>50</v>
      </c>
      <c r="B26" s="32" t="s">
        <v>211</v>
      </c>
      <c r="C26" s="33">
        <v>174</v>
      </c>
      <c r="M26" s="35" t="s">
        <v>211</v>
      </c>
      <c r="N26" s="35" t="s">
        <v>18</v>
      </c>
      <c r="O26" s="36">
        <v>174</v>
      </c>
      <c r="Y26" s="32" t="str">
        <f>IF(AmazonSales!C24-AmazonSales!B24&lt;0,"",AmazonSales!C24-AmazonSales!B24)</f>
        <v/>
      </c>
      <c r="AC26" s="32" t="s">
        <v>211</v>
      </c>
      <c r="AD26" s="35" t="s">
        <v>41</v>
      </c>
      <c r="AE26" s="36">
        <v>174</v>
      </c>
    </row>
    <row r="27" spans="1:31" x14ac:dyDescent="0.35">
      <c r="A27" s="32" t="s">
        <v>50</v>
      </c>
      <c r="B27" s="32" t="s">
        <v>211</v>
      </c>
      <c r="C27" s="33">
        <v>480</v>
      </c>
      <c r="M27" s="35" t="s">
        <v>211</v>
      </c>
      <c r="N27" s="35" t="s">
        <v>25</v>
      </c>
      <c r="O27" s="36">
        <v>480</v>
      </c>
      <c r="Y27" s="32">
        <f>IF(AmazonSales!C25-AmazonSales!B25&lt;0,"",AmazonSales!C25-AmazonSales!B25)</f>
        <v>3</v>
      </c>
      <c r="AC27" s="32" t="s">
        <v>211</v>
      </c>
      <c r="AD27" s="35" t="s">
        <v>41</v>
      </c>
      <c r="AE27" s="36">
        <v>480</v>
      </c>
    </row>
    <row r="28" spans="1:31" x14ac:dyDescent="0.35">
      <c r="A28" s="32" t="s">
        <v>28</v>
      </c>
      <c r="B28" s="32" t="s">
        <v>203</v>
      </c>
      <c r="C28" s="33">
        <v>43</v>
      </c>
      <c r="M28" s="35" t="s">
        <v>203</v>
      </c>
      <c r="N28" s="35" t="s">
        <v>25</v>
      </c>
      <c r="O28" s="36">
        <v>43</v>
      </c>
      <c r="Y28" s="32">
        <f>IF(AmazonSales!C26-AmazonSales!B26&lt;0,"",AmazonSales!C26-AmazonSales!B26)</f>
        <v>2</v>
      </c>
      <c r="AC28" s="32" t="s">
        <v>203</v>
      </c>
      <c r="AD28" s="35" t="s">
        <v>46</v>
      </c>
      <c r="AE28" s="36">
        <v>43</v>
      </c>
    </row>
    <row r="29" spans="1:31" x14ac:dyDescent="0.35">
      <c r="A29" s="32" t="s">
        <v>28</v>
      </c>
      <c r="B29" s="32" t="s">
        <v>211</v>
      </c>
      <c r="C29" s="33">
        <v>256</v>
      </c>
      <c r="M29" s="35" t="s">
        <v>211</v>
      </c>
      <c r="N29" s="35" t="s">
        <v>25</v>
      </c>
      <c r="O29" s="36">
        <v>256</v>
      </c>
      <c r="Y29" s="32">
        <f>IF(AmazonSales!C27-AmazonSales!B27&lt;0,"",AmazonSales!C27-AmazonSales!B27)</f>
        <v>6</v>
      </c>
      <c r="AC29" s="32" t="s">
        <v>211</v>
      </c>
      <c r="AD29" s="35" t="s">
        <v>46</v>
      </c>
      <c r="AE29" s="36">
        <v>256</v>
      </c>
    </row>
    <row r="30" spans="1:31" x14ac:dyDescent="0.35">
      <c r="A30" s="32" t="s">
        <v>28</v>
      </c>
      <c r="B30" s="32" t="s">
        <v>218</v>
      </c>
      <c r="C30" s="33">
        <v>140</v>
      </c>
      <c r="M30" s="35" t="s">
        <v>218</v>
      </c>
      <c r="N30" s="35" t="s">
        <v>29</v>
      </c>
      <c r="O30" s="36">
        <v>140</v>
      </c>
      <c r="Y30" s="32" t="str">
        <f>IF(AmazonSales!C28-AmazonSales!B28&lt;0,"",AmazonSales!C28-AmazonSales!B28)</f>
        <v/>
      </c>
      <c r="AC30" s="32" t="s">
        <v>218</v>
      </c>
      <c r="AD30" s="35" t="s">
        <v>41</v>
      </c>
      <c r="AE30" s="36">
        <v>140</v>
      </c>
    </row>
    <row r="31" spans="1:31" x14ac:dyDescent="0.35">
      <c r="A31" s="32" t="s">
        <v>45</v>
      </c>
      <c r="B31" s="32" t="s">
        <v>203</v>
      </c>
      <c r="C31" s="33">
        <v>291</v>
      </c>
      <c r="M31" s="35" t="s">
        <v>203</v>
      </c>
      <c r="N31" s="35" t="s">
        <v>29</v>
      </c>
      <c r="O31" s="36">
        <v>291</v>
      </c>
      <c r="Y31" s="32" t="str">
        <f>IF(AmazonSales!C29-AmazonSales!B29&lt;0,"",AmazonSales!C29-AmazonSales!B29)</f>
        <v/>
      </c>
      <c r="AC31" s="32" t="s">
        <v>203</v>
      </c>
      <c r="AD31" s="35" t="s">
        <v>24</v>
      </c>
      <c r="AE31" s="36">
        <v>291</v>
      </c>
    </row>
    <row r="32" spans="1:31" x14ac:dyDescent="0.35">
      <c r="A32" s="32" t="s">
        <v>23</v>
      </c>
      <c r="B32" s="32" t="s">
        <v>206</v>
      </c>
      <c r="C32" s="33">
        <v>111</v>
      </c>
      <c r="M32" s="35" t="s">
        <v>206</v>
      </c>
      <c r="N32" s="35" t="s">
        <v>18</v>
      </c>
      <c r="O32" s="36">
        <v>111</v>
      </c>
      <c r="Y32" s="32" t="str">
        <f>IF(AmazonSales!C30-AmazonSales!B30&lt;0,"",AmazonSales!C30-AmazonSales!B30)</f>
        <v/>
      </c>
      <c r="AC32" s="32" t="s">
        <v>206</v>
      </c>
      <c r="AD32" s="35" t="s">
        <v>17</v>
      </c>
      <c r="AE32" s="36">
        <v>111</v>
      </c>
    </row>
    <row r="33" spans="1:31" x14ac:dyDescent="0.35">
      <c r="A33" s="32" t="s">
        <v>16</v>
      </c>
      <c r="B33" s="32" t="s">
        <v>218</v>
      </c>
      <c r="C33" s="33">
        <v>345</v>
      </c>
      <c r="M33" s="35" t="s">
        <v>218</v>
      </c>
      <c r="N33" s="35" t="s">
        <v>29</v>
      </c>
      <c r="O33" s="36">
        <v>345</v>
      </c>
      <c r="Y33" s="32" t="str">
        <f>IF(AmazonSales!C31-AmazonSales!B31&lt;0,"",AmazonSales!C31-AmazonSales!B31)</f>
        <v/>
      </c>
      <c r="AC33" s="32" t="s">
        <v>218</v>
      </c>
      <c r="AD33" s="35" t="s">
        <v>41</v>
      </c>
      <c r="AE33" s="36">
        <v>345</v>
      </c>
    </row>
    <row r="34" spans="1:31" x14ac:dyDescent="0.35">
      <c r="A34" s="32" t="s">
        <v>16</v>
      </c>
      <c r="B34" s="32" t="s">
        <v>203</v>
      </c>
      <c r="C34" s="33">
        <v>210</v>
      </c>
      <c r="M34" s="35" t="s">
        <v>203</v>
      </c>
      <c r="N34" s="35" t="s">
        <v>29</v>
      </c>
      <c r="O34" s="36">
        <v>210</v>
      </c>
      <c r="Y34" s="32" t="str">
        <f>IF(AmazonSales!C32-AmazonSales!B32&lt;0,"",AmazonSales!C32-AmazonSales!B32)</f>
        <v/>
      </c>
      <c r="AC34" s="32" t="s">
        <v>203</v>
      </c>
      <c r="AD34" s="35" t="s">
        <v>41</v>
      </c>
      <c r="AE34" s="36">
        <v>210</v>
      </c>
    </row>
    <row r="35" spans="1:31" x14ac:dyDescent="0.35">
      <c r="A35" s="32" t="s">
        <v>23</v>
      </c>
      <c r="B35" s="32" t="s">
        <v>218</v>
      </c>
      <c r="C35" s="33">
        <v>55</v>
      </c>
      <c r="M35" s="35" t="s">
        <v>218</v>
      </c>
      <c r="N35" s="35" t="s">
        <v>18</v>
      </c>
      <c r="O35" s="36">
        <v>55</v>
      </c>
      <c r="Y35" s="32" t="str">
        <f>IF(AmazonSales!C33-AmazonSales!B33&lt;0,"",AmazonSales!C33-AmazonSales!B33)</f>
        <v/>
      </c>
      <c r="AC35" s="32" t="s">
        <v>218</v>
      </c>
      <c r="AD35" s="35" t="s">
        <v>46</v>
      </c>
      <c r="AE35" s="36">
        <v>55</v>
      </c>
    </row>
    <row r="36" spans="1:31" x14ac:dyDescent="0.35">
      <c r="A36" s="32" t="s">
        <v>28</v>
      </c>
      <c r="B36" s="32" t="s">
        <v>211</v>
      </c>
      <c r="C36" s="33">
        <v>54</v>
      </c>
      <c r="M36" s="35" t="s">
        <v>211</v>
      </c>
      <c r="N36" s="35" t="s">
        <v>25</v>
      </c>
      <c r="O36" s="36">
        <v>54</v>
      </c>
      <c r="Y36" s="32">
        <f>IF(AmazonSales!C34-AmazonSales!B34&lt;0,"",AmazonSales!C34-AmazonSales!B34)</f>
        <v>1</v>
      </c>
      <c r="AC36" s="32" t="s">
        <v>211</v>
      </c>
      <c r="AD36" s="35" t="s">
        <v>17</v>
      </c>
      <c r="AE36" s="36">
        <v>54</v>
      </c>
    </row>
    <row r="37" spans="1:31" x14ac:dyDescent="0.35">
      <c r="A37" s="32" t="s">
        <v>28</v>
      </c>
      <c r="B37" s="32" t="s">
        <v>218</v>
      </c>
      <c r="C37" s="33">
        <v>21</v>
      </c>
      <c r="M37" s="35" t="s">
        <v>218</v>
      </c>
      <c r="N37" s="35" t="s">
        <v>29</v>
      </c>
      <c r="O37" s="36">
        <v>21</v>
      </c>
      <c r="Y37" s="32" t="str">
        <f>IF(AmazonSales!C35-AmazonSales!B35&lt;0,"",AmazonSales!C35-AmazonSales!B35)</f>
        <v/>
      </c>
      <c r="AC37" s="32" t="s">
        <v>218</v>
      </c>
      <c r="AD37" s="35" t="s">
        <v>41</v>
      </c>
      <c r="AE37" s="36">
        <v>21</v>
      </c>
    </row>
    <row r="38" spans="1:31" x14ac:dyDescent="0.35">
      <c r="A38" s="32" t="s">
        <v>28</v>
      </c>
      <c r="B38" s="32" t="s">
        <v>200</v>
      </c>
      <c r="C38" s="33">
        <v>172</v>
      </c>
      <c r="M38" s="35" t="s">
        <v>200</v>
      </c>
      <c r="N38" s="35" t="s">
        <v>25</v>
      </c>
      <c r="O38" s="36">
        <v>172</v>
      </c>
      <c r="Y38" s="32">
        <f>IF(AmazonSales!C36-AmazonSales!B36&lt;0,"",AmazonSales!C36-AmazonSales!B36)</f>
        <v>4</v>
      </c>
      <c r="AC38" s="32" t="s">
        <v>200</v>
      </c>
      <c r="AD38" s="35" t="s">
        <v>33</v>
      </c>
      <c r="AE38" s="36">
        <v>172</v>
      </c>
    </row>
    <row r="39" spans="1:31" x14ac:dyDescent="0.35">
      <c r="A39" s="32" t="s">
        <v>16</v>
      </c>
      <c r="B39" s="32" t="s">
        <v>206</v>
      </c>
      <c r="C39" s="33">
        <v>636</v>
      </c>
      <c r="M39" s="35" t="s">
        <v>206</v>
      </c>
      <c r="N39" s="35" t="s">
        <v>29</v>
      </c>
      <c r="O39" s="36">
        <v>636</v>
      </c>
      <c r="Y39" s="32" t="str">
        <f>IF(AmazonSales!C37-AmazonSales!B37&lt;0,"",AmazonSales!C37-AmazonSales!B37)</f>
        <v/>
      </c>
      <c r="AC39" s="32" t="s">
        <v>206</v>
      </c>
      <c r="AD39" s="35" t="s">
        <v>41</v>
      </c>
      <c r="AE39" s="36">
        <v>636</v>
      </c>
    </row>
    <row r="40" spans="1:31" x14ac:dyDescent="0.35">
      <c r="A40" s="32" t="s">
        <v>23</v>
      </c>
      <c r="B40" s="32" t="s">
        <v>203</v>
      </c>
      <c r="C40" s="33">
        <v>164</v>
      </c>
      <c r="M40" s="35" t="s">
        <v>203</v>
      </c>
      <c r="N40" s="35" t="s">
        <v>25</v>
      </c>
      <c r="O40" s="36">
        <v>164</v>
      </c>
      <c r="Y40" s="32">
        <f>IF(AmazonSales!C38-AmazonSales!B38&lt;0,"",AmazonSales!C38-AmazonSales!B38)</f>
        <v>5</v>
      </c>
      <c r="AC40" s="32" t="s">
        <v>203</v>
      </c>
      <c r="AD40" s="35" t="s">
        <v>24</v>
      </c>
      <c r="AE40" s="36">
        <v>164</v>
      </c>
    </row>
    <row r="41" spans="1:31" x14ac:dyDescent="0.35">
      <c r="A41" s="32" t="s">
        <v>16</v>
      </c>
      <c r="B41" s="32" t="s">
        <v>203</v>
      </c>
      <c r="C41" s="33">
        <v>64</v>
      </c>
      <c r="M41" s="35" t="s">
        <v>203</v>
      </c>
      <c r="N41" s="35" t="s">
        <v>18</v>
      </c>
      <c r="O41" s="36">
        <v>64</v>
      </c>
      <c r="Y41" s="32" t="str">
        <f>IF(AmazonSales!C39-AmazonSales!B39&lt;0,"",AmazonSales!C39-AmazonSales!B39)</f>
        <v/>
      </c>
      <c r="AC41" s="32" t="s">
        <v>203</v>
      </c>
      <c r="AD41" s="35" t="s">
        <v>46</v>
      </c>
      <c r="AE41" s="36">
        <v>64</v>
      </c>
    </row>
    <row r="42" spans="1:31" x14ac:dyDescent="0.35">
      <c r="A42" s="32" t="s">
        <v>23</v>
      </c>
      <c r="B42" s="32" t="s">
        <v>211</v>
      </c>
      <c r="C42" s="33">
        <v>132</v>
      </c>
      <c r="M42" s="35" t="s">
        <v>211</v>
      </c>
      <c r="N42" s="35" t="s">
        <v>29</v>
      </c>
      <c r="O42" s="36">
        <v>132</v>
      </c>
      <c r="Y42" s="32" t="str">
        <f>IF(AmazonSales!C40-AmazonSales!B40&lt;0,"",AmazonSales!C40-AmazonSales!B40)</f>
        <v/>
      </c>
      <c r="AC42" s="32" t="s">
        <v>211</v>
      </c>
      <c r="AD42" s="35" t="s">
        <v>17</v>
      </c>
      <c r="AE42" s="36">
        <v>132</v>
      </c>
    </row>
    <row r="43" spans="1:31" x14ac:dyDescent="0.35">
      <c r="A43" s="32" t="s">
        <v>23</v>
      </c>
      <c r="B43" s="32" t="s">
        <v>203</v>
      </c>
      <c r="C43" s="33">
        <v>248</v>
      </c>
      <c r="M43" s="35" t="s">
        <v>203</v>
      </c>
      <c r="N43" s="35" t="s">
        <v>29</v>
      </c>
      <c r="O43" s="36">
        <v>248</v>
      </c>
      <c r="Y43" s="32" t="str">
        <f>IF(AmazonSales!C41-AmazonSales!B41&lt;0,"",AmazonSales!C41-AmazonSales!B41)</f>
        <v/>
      </c>
      <c r="AC43" s="32" t="s">
        <v>203</v>
      </c>
      <c r="AD43" s="35" t="s">
        <v>46</v>
      </c>
      <c r="AE43" s="36">
        <v>248</v>
      </c>
    </row>
    <row r="44" spans="1:31" x14ac:dyDescent="0.35">
      <c r="A44" s="32" t="s">
        <v>50</v>
      </c>
      <c r="B44" s="32" t="s">
        <v>200</v>
      </c>
      <c r="C44" s="33">
        <v>692</v>
      </c>
      <c r="M44" s="35" t="s">
        <v>200</v>
      </c>
      <c r="N44" s="35" t="s">
        <v>25</v>
      </c>
      <c r="O44" s="36">
        <v>692</v>
      </c>
      <c r="Y44" s="32">
        <f>IF(AmazonSales!C42-AmazonSales!B42&lt;0,"",AmazonSales!C42-AmazonSales!B42)</f>
        <v>7</v>
      </c>
      <c r="AC44" s="32" t="s">
        <v>200</v>
      </c>
      <c r="AD44" s="35" t="s">
        <v>17</v>
      </c>
      <c r="AE44" s="36">
        <v>692</v>
      </c>
    </row>
    <row r="45" spans="1:31" x14ac:dyDescent="0.35">
      <c r="A45" s="32" t="s">
        <v>50</v>
      </c>
      <c r="B45" s="32" t="s">
        <v>203</v>
      </c>
      <c r="C45" s="33">
        <v>189</v>
      </c>
      <c r="M45" s="35" t="s">
        <v>203</v>
      </c>
      <c r="N45" s="35" t="s">
        <v>25</v>
      </c>
      <c r="O45" s="36">
        <v>189</v>
      </c>
      <c r="Y45" s="32">
        <f>IF(AmazonSales!C43-AmazonSales!B43&lt;0,"",AmazonSales!C43-AmazonSales!B43)</f>
        <v>2</v>
      </c>
      <c r="AC45" s="32" t="s">
        <v>203</v>
      </c>
      <c r="AD45" s="35" t="s">
        <v>17</v>
      </c>
      <c r="AE45" s="36">
        <v>189</v>
      </c>
    </row>
    <row r="46" spans="1:31" x14ac:dyDescent="0.35">
      <c r="A46" s="32" t="s">
        <v>50</v>
      </c>
      <c r="B46" s="32" t="s">
        <v>206</v>
      </c>
      <c r="C46" s="33">
        <v>108</v>
      </c>
      <c r="M46" s="35" t="s">
        <v>206</v>
      </c>
      <c r="N46" s="35" t="s">
        <v>18</v>
      </c>
      <c r="O46" s="36">
        <v>108</v>
      </c>
      <c r="Y46" s="32" t="str">
        <f>IF(AmazonSales!C44-AmazonSales!B44&lt;0,"",AmazonSales!C44-AmazonSales!B44)</f>
        <v/>
      </c>
      <c r="AC46" s="32" t="s">
        <v>206</v>
      </c>
      <c r="AD46" s="35" t="s">
        <v>46</v>
      </c>
      <c r="AE46" s="36">
        <v>108</v>
      </c>
    </row>
    <row r="47" spans="1:31" x14ac:dyDescent="0.35">
      <c r="A47" s="32" t="s">
        <v>45</v>
      </c>
      <c r="B47" s="32" t="s">
        <v>203</v>
      </c>
      <c r="C47" s="33">
        <v>62</v>
      </c>
      <c r="M47" s="35" t="s">
        <v>203</v>
      </c>
      <c r="N47" s="35" t="s">
        <v>18</v>
      </c>
      <c r="O47" s="36">
        <v>62</v>
      </c>
      <c r="Y47" s="32" t="str">
        <f>IF(AmazonSales!C45-AmazonSales!B45&lt;0,"",AmazonSales!C45-AmazonSales!B45)</f>
        <v/>
      </c>
      <c r="AC47" s="32" t="s">
        <v>203</v>
      </c>
      <c r="AD47" s="35" t="s">
        <v>17</v>
      </c>
      <c r="AE47" s="36">
        <v>62</v>
      </c>
    </row>
    <row r="48" spans="1:31" x14ac:dyDescent="0.35">
      <c r="A48" s="32" t="s">
        <v>45</v>
      </c>
      <c r="B48" s="32" t="s">
        <v>206</v>
      </c>
      <c r="C48" s="33">
        <v>685</v>
      </c>
      <c r="M48" s="35" t="s">
        <v>206</v>
      </c>
      <c r="N48" s="35" t="s">
        <v>18</v>
      </c>
      <c r="O48" s="36">
        <v>685</v>
      </c>
      <c r="Y48" s="32" t="str">
        <f>IF(AmazonSales!C46-AmazonSales!B46&lt;0,"",AmazonSales!C46-AmazonSales!B46)</f>
        <v/>
      </c>
      <c r="AC48" s="32" t="s">
        <v>206</v>
      </c>
      <c r="AD48" s="35" t="s">
        <v>41</v>
      </c>
      <c r="AE48" s="36">
        <v>685</v>
      </c>
    </row>
    <row r="49" spans="1:31" x14ac:dyDescent="0.35">
      <c r="A49" s="32" t="s">
        <v>16</v>
      </c>
      <c r="B49" s="32" t="s">
        <v>200</v>
      </c>
      <c r="C49" s="33">
        <v>292</v>
      </c>
      <c r="M49" s="35" t="s">
        <v>200</v>
      </c>
      <c r="N49" s="35" t="s">
        <v>25</v>
      </c>
      <c r="O49" s="36">
        <v>292</v>
      </c>
      <c r="Y49" s="32">
        <f>IF(AmazonSales!C47-AmazonSales!B47&lt;0,"",AmazonSales!C47-AmazonSales!B47)</f>
        <v>4</v>
      </c>
      <c r="AC49" s="32" t="s">
        <v>200</v>
      </c>
      <c r="AD49" s="35" t="s">
        <v>24</v>
      </c>
      <c r="AE49" s="36">
        <v>292</v>
      </c>
    </row>
    <row r="50" spans="1:31" x14ac:dyDescent="0.35">
      <c r="A50" s="32" t="s">
        <v>16</v>
      </c>
      <c r="B50" s="32" t="s">
        <v>200</v>
      </c>
      <c r="C50" s="33">
        <v>104</v>
      </c>
      <c r="M50" s="35" t="s">
        <v>200</v>
      </c>
      <c r="N50" s="35" t="s">
        <v>25</v>
      </c>
      <c r="O50" s="36">
        <v>104</v>
      </c>
      <c r="Y50" s="32">
        <f>IF(AmazonSales!C48-AmazonSales!B48&lt;0,"",AmazonSales!C48-AmazonSales!B48)</f>
        <v>2</v>
      </c>
      <c r="AC50" s="32" t="s">
        <v>200</v>
      </c>
      <c r="AD50" s="35" t="s">
        <v>33</v>
      </c>
      <c r="AE50" s="36">
        <v>104</v>
      </c>
    </row>
    <row r="51" spans="1:31" x14ac:dyDescent="0.35">
      <c r="A51" s="32" t="s">
        <v>23</v>
      </c>
      <c r="B51" s="32" t="s">
        <v>211</v>
      </c>
      <c r="C51" s="33">
        <v>97</v>
      </c>
      <c r="M51" s="35" t="s">
        <v>211</v>
      </c>
      <c r="N51" s="35" t="s">
        <v>25</v>
      </c>
      <c r="O51" s="36">
        <v>97</v>
      </c>
      <c r="Y51" s="32">
        <f>IF(AmazonSales!C49-AmazonSales!B49&lt;0,"",AmazonSales!C49-AmazonSales!B49)</f>
        <v>5</v>
      </c>
      <c r="AC51" s="32" t="s">
        <v>211</v>
      </c>
      <c r="AD51" s="35" t="s">
        <v>41</v>
      </c>
      <c r="AE51" s="36">
        <v>97</v>
      </c>
    </row>
    <row r="52" spans="1:31" x14ac:dyDescent="0.35">
      <c r="A52" s="32" t="s">
        <v>28</v>
      </c>
      <c r="B52" s="32" t="s">
        <v>200</v>
      </c>
      <c r="C52" s="33">
        <v>365</v>
      </c>
      <c r="M52" s="35" t="s">
        <v>200</v>
      </c>
      <c r="N52" s="35" t="s">
        <v>29</v>
      </c>
      <c r="O52" s="36">
        <v>365</v>
      </c>
      <c r="Y52" s="32" t="str">
        <f>IF(AmazonSales!C50-AmazonSales!B50&lt;0,"",AmazonSales!C50-AmazonSales!B50)</f>
        <v/>
      </c>
      <c r="AC52" s="32" t="s">
        <v>200</v>
      </c>
      <c r="AD52" s="35" t="s">
        <v>17</v>
      </c>
      <c r="AE52" s="36">
        <v>365</v>
      </c>
    </row>
    <row r="53" spans="1:31" x14ac:dyDescent="0.35">
      <c r="A53" s="32" t="s">
        <v>23</v>
      </c>
      <c r="B53" s="32" t="s">
        <v>211</v>
      </c>
      <c r="C53" s="33">
        <v>81</v>
      </c>
      <c r="M53" s="35" t="s">
        <v>211</v>
      </c>
      <c r="N53" s="35" t="s">
        <v>25</v>
      </c>
      <c r="O53" s="36">
        <v>81</v>
      </c>
      <c r="Y53" s="32">
        <f>IF(AmazonSales!C51-AmazonSales!B51&lt;0,"",AmazonSales!C51-AmazonSales!B51)</f>
        <v>7</v>
      </c>
      <c r="AC53" s="32" t="s">
        <v>211</v>
      </c>
      <c r="AD53" s="35" t="s">
        <v>41</v>
      </c>
      <c r="AE53" s="36">
        <v>81</v>
      </c>
    </row>
    <row r="54" spans="1:31" x14ac:dyDescent="0.35">
      <c r="A54" s="32" t="s">
        <v>16</v>
      </c>
      <c r="B54" s="32" t="s">
        <v>206</v>
      </c>
      <c r="C54" s="33">
        <v>37</v>
      </c>
      <c r="M54" s="35" t="s">
        <v>206</v>
      </c>
      <c r="N54" s="35" t="s">
        <v>29</v>
      </c>
      <c r="O54" s="36">
        <v>37</v>
      </c>
      <c r="Y54" s="32" t="str">
        <f>IF(AmazonSales!C52-AmazonSales!B52&lt;0,"",AmazonSales!C52-AmazonSales!B52)</f>
        <v/>
      </c>
      <c r="AC54" s="32" t="s">
        <v>206</v>
      </c>
      <c r="AD54" s="35" t="s">
        <v>17</v>
      </c>
      <c r="AE54" s="36">
        <v>37</v>
      </c>
    </row>
    <row r="55" spans="1:31" x14ac:dyDescent="0.35">
      <c r="A55" s="32" t="s">
        <v>16</v>
      </c>
      <c r="B55" s="32" t="s">
        <v>218</v>
      </c>
      <c r="C55" s="33">
        <v>22</v>
      </c>
      <c r="M55" s="35" t="s">
        <v>218</v>
      </c>
      <c r="N55" s="35" t="s">
        <v>25</v>
      </c>
      <c r="O55" s="36">
        <v>22</v>
      </c>
      <c r="Y55" s="32">
        <f>IF(AmazonSales!C53-AmazonSales!B53&lt;0,"",AmazonSales!C53-AmazonSales!B53)</f>
        <v>2</v>
      </c>
      <c r="AC55" s="32" t="s">
        <v>218</v>
      </c>
      <c r="AD55" s="35" t="s">
        <v>46</v>
      </c>
      <c r="AE55" s="36">
        <v>22</v>
      </c>
    </row>
    <row r="56" spans="1:31" x14ac:dyDescent="0.35">
      <c r="A56" s="32" t="s">
        <v>45</v>
      </c>
      <c r="B56" s="32" t="s">
        <v>206</v>
      </c>
      <c r="C56" s="33">
        <v>1090</v>
      </c>
      <c r="M56" s="35" t="s">
        <v>206</v>
      </c>
      <c r="N56" s="35" t="s">
        <v>25</v>
      </c>
      <c r="O56" s="36">
        <v>1090</v>
      </c>
      <c r="Y56" s="32">
        <f>IF(AmazonSales!C54-AmazonSales!B54&lt;0,"",AmazonSales!C54-AmazonSales!B54)</f>
        <v>3</v>
      </c>
      <c r="AC56" s="32" t="s">
        <v>206</v>
      </c>
      <c r="AD56" s="35" t="s">
        <v>33</v>
      </c>
      <c r="AE56" s="36">
        <v>1090</v>
      </c>
    </row>
    <row r="57" spans="1:31" x14ac:dyDescent="0.35">
      <c r="A57" s="32" t="s">
        <v>16</v>
      </c>
      <c r="B57" s="32" t="s">
        <v>203</v>
      </c>
      <c r="C57" s="33">
        <v>64</v>
      </c>
      <c r="M57" s="35" t="s">
        <v>203</v>
      </c>
      <c r="N57" s="35" t="s">
        <v>18</v>
      </c>
      <c r="O57" s="36">
        <v>64</v>
      </c>
      <c r="Y57" s="32" t="str">
        <f>IF(AmazonSales!C55-AmazonSales!B55&lt;0,"",AmazonSales!C55-AmazonSales!B55)</f>
        <v/>
      </c>
      <c r="AC57" s="32" t="s">
        <v>203</v>
      </c>
      <c r="AD57" s="35" t="s">
        <v>17</v>
      </c>
      <c r="AE57" s="36">
        <v>64</v>
      </c>
    </row>
    <row r="58" spans="1:31" x14ac:dyDescent="0.35">
      <c r="A58" s="32" t="s">
        <v>45</v>
      </c>
      <c r="B58" s="32" t="s">
        <v>206</v>
      </c>
      <c r="C58" s="33">
        <v>144</v>
      </c>
      <c r="M58" s="35" t="s">
        <v>206</v>
      </c>
      <c r="N58" s="35" t="s">
        <v>25</v>
      </c>
      <c r="O58" s="36">
        <v>144</v>
      </c>
      <c r="Y58" s="32">
        <f>IF(AmazonSales!C56-AmazonSales!B56&lt;0,"",AmazonSales!C56-AmazonSales!B56)</f>
        <v>4</v>
      </c>
      <c r="AC58" s="32" t="s">
        <v>206</v>
      </c>
      <c r="AD58" s="35" t="s">
        <v>33</v>
      </c>
      <c r="AE58" s="36">
        <v>144</v>
      </c>
    </row>
    <row r="59" spans="1:31" x14ac:dyDescent="0.35">
      <c r="A59" s="32" t="s">
        <v>50</v>
      </c>
      <c r="B59" s="32" t="s">
        <v>203</v>
      </c>
      <c r="C59" s="33">
        <v>65</v>
      </c>
      <c r="M59" s="35" t="s">
        <v>203</v>
      </c>
      <c r="N59" s="35" t="s">
        <v>25</v>
      </c>
      <c r="O59" s="36">
        <v>65</v>
      </c>
      <c r="Y59" s="32">
        <f>IF(AmazonSales!C57-AmazonSales!B57&lt;0,"",AmazonSales!C57-AmazonSales!B57)</f>
        <v>3</v>
      </c>
      <c r="AC59" s="32" t="s">
        <v>203</v>
      </c>
      <c r="AD59" s="35" t="s">
        <v>41</v>
      </c>
      <c r="AE59" s="36">
        <v>65</v>
      </c>
    </row>
    <row r="60" spans="1:31" x14ac:dyDescent="0.35">
      <c r="A60" s="32" t="s">
        <v>45</v>
      </c>
      <c r="B60" s="32" t="s">
        <v>211</v>
      </c>
      <c r="C60" s="33">
        <v>26</v>
      </c>
      <c r="M60" s="35" t="s">
        <v>211</v>
      </c>
      <c r="N60" s="35" t="s">
        <v>25</v>
      </c>
      <c r="O60" s="36">
        <v>26</v>
      </c>
      <c r="Y60" s="32">
        <f>IF(AmazonSales!C58-AmazonSales!B58&lt;0,"",AmazonSales!C58-AmazonSales!B58)</f>
        <v>2</v>
      </c>
      <c r="AC60" s="32" t="s">
        <v>211</v>
      </c>
      <c r="AD60" s="35" t="s">
        <v>17</v>
      </c>
      <c r="AE60" s="36">
        <v>26</v>
      </c>
    </row>
    <row r="61" spans="1:31" x14ac:dyDescent="0.35">
      <c r="A61" s="32" t="s">
        <v>16</v>
      </c>
      <c r="B61" s="32" t="s">
        <v>218</v>
      </c>
      <c r="C61" s="33">
        <v>55</v>
      </c>
      <c r="M61" s="35" t="s">
        <v>218</v>
      </c>
      <c r="N61" s="35" t="s">
        <v>29</v>
      </c>
      <c r="O61" s="36">
        <v>55</v>
      </c>
      <c r="Y61" s="32" t="str">
        <f>IF(AmazonSales!C59-AmazonSales!B59&lt;0,"",AmazonSales!C59-AmazonSales!B59)</f>
        <v/>
      </c>
      <c r="AC61" s="32" t="s">
        <v>218</v>
      </c>
      <c r="AD61" s="35" t="s">
        <v>24</v>
      </c>
      <c r="AE61" s="36">
        <v>55</v>
      </c>
    </row>
    <row r="62" spans="1:31" x14ac:dyDescent="0.35">
      <c r="A62" s="32" t="s">
        <v>16</v>
      </c>
      <c r="B62" s="32" t="s">
        <v>206</v>
      </c>
      <c r="C62" s="33">
        <v>780</v>
      </c>
      <c r="M62" s="35" t="s">
        <v>206</v>
      </c>
      <c r="N62" s="35" t="s">
        <v>18</v>
      </c>
      <c r="O62" s="36">
        <v>780</v>
      </c>
      <c r="Y62" s="32" t="str">
        <f>IF(AmazonSales!C60-AmazonSales!B60&lt;0,"",AmazonSales!C60-AmazonSales!B60)</f>
        <v/>
      </c>
      <c r="AC62" s="32" t="s">
        <v>206</v>
      </c>
      <c r="AD62" s="35" t="s">
        <v>33</v>
      </c>
      <c r="AE62" s="36">
        <v>780</v>
      </c>
    </row>
    <row r="63" spans="1:31" x14ac:dyDescent="0.35">
      <c r="A63" s="32" t="s">
        <v>50</v>
      </c>
      <c r="B63" s="32" t="s">
        <v>211</v>
      </c>
      <c r="C63" s="33">
        <v>220</v>
      </c>
      <c r="M63" s="35" t="s">
        <v>211</v>
      </c>
      <c r="N63" s="35" t="s">
        <v>18</v>
      </c>
      <c r="O63" s="36">
        <v>220</v>
      </c>
      <c r="Y63" s="32" t="str">
        <f>IF(AmazonSales!C61-AmazonSales!B61&lt;0,"",AmazonSales!C61-AmazonSales!B61)</f>
        <v/>
      </c>
      <c r="AC63" s="32" t="s">
        <v>211</v>
      </c>
      <c r="AD63" s="35" t="s">
        <v>17</v>
      </c>
      <c r="AE63" s="36">
        <v>220</v>
      </c>
    </row>
    <row r="64" spans="1:31" x14ac:dyDescent="0.35">
      <c r="A64" s="32" t="s">
        <v>23</v>
      </c>
      <c r="B64" s="32" t="s">
        <v>218</v>
      </c>
      <c r="C64" s="33">
        <v>276</v>
      </c>
      <c r="M64" s="35" t="s">
        <v>218</v>
      </c>
      <c r="N64" s="35" t="s">
        <v>29</v>
      </c>
      <c r="O64" s="36">
        <v>276</v>
      </c>
      <c r="Y64" s="32" t="str">
        <f>IF(AmazonSales!C62-AmazonSales!B62&lt;0,"",AmazonSales!C62-AmazonSales!B62)</f>
        <v/>
      </c>
      <c r="AC64" s="32" t="s">
        <v>218</v>
      </c>
      <c r="AD64" s="35" t="s">
        <v>46</v>
      </c>
      <c r="AE64" s="36">
        <v>276</v>
      </c>
    </row>
    <row r="65" spans="1:31" x14ac:dyDescent="0.35">
      <c r="A65" s="32" t="s">
        <v>16</v>
      </c>
      <c r="B65" s="32" t="s">
        <v>200</v>
      </c>
      <c r="C65" s="33">
        <v>3260</v>
      </c>
      <c r="M65" s="35" t="s">
        <v>200</v>
      </c>
      <c r="N65" s="35" t="s">
        <v>25</v>
      </c>
      <c r="O65" s="36">
        <v>3260</v>
      </c>
      <c r="Y65" s="32">
        <f>IF(AmazonSales!C63-AmazonSales!B63&lt;0,"",AmazonSales!C63-AmazonSales!B63)</f>
        <v>7</v>
      </c>
      <c r="AC65" s="32" t="s">
        <v>200</v>
      </c>
      <c r="AD65" s="35" t="s">
        <v>24</v>
      </c>
      <c r="AE65" s="36">
        <v>3260</v>
      </c>
    </row>
    <row r="66" spans="1:31" x14ac:dyDescent="0.35">
      <c r="A66" s="32" t="s">
        <v>23</v>
      </c>
      <c r="B66" s="32" t="s">
        <v>211</v>
      </c>
      <c r="C66" s="33">
        <v>27</v>
      </c>
      <c r="M66" s="35" t="s">
        <v>211</v>
      </c>
      <c r="N66" s="35" t="s">
        <v>29</v>
      </c>
      <c r="O66" s="36">
        <v>27</v>
      </c>
      <c r="Y66" s="32" t="str">
        <f>IF(AmazonSales!C64-AmazonSales!B64&lt;0,"",AmazonSales!C64-AmazonSales!B64)</f>
        <v/>
      </c>
      <c r="AC66" s="32" t="s">
        <v>211</v>
      </c>
      <c r="AD66" s="35" t="s">
        <v>46</v>
      </c>
      <c r="AE66" s="36">
        <v>27</v>
      </c>
    </row>
    <row r="67" spans="1:31" x14ac:dyDescent="0.35">
      <c r="A67" s="32" t="s">
        <v>50</v>
      </c>
      <c r="B67" s="32" t="s">
        <v>206</v>
      </c>
      <c r="C67" s="33">
        <v>695</v>
      </c>
      <c r="M67" s="35" t="s">
        <v>206</v>
      </c>
      <c r="N67" s="35" t="s">
        <v>25</v>
      </c>
      <c r="O67" s="36">
        <v>695</v>
      </c>
      <c r="Y67" s="32">
        <f>IF(AmazonSales!C65-AmazonSales!B65&lt;0,"",AmazonSales!C65-AmazonSales!B65)</f>
        <v>4</v>
      </c>
      <c r="AC67" s="32" t="s">
        <v>206</v>
      </c>
      <c r="AD67" s="35" t="s">
        <v>17</v>
      </c>
      <c r="AE67" s="36">
        <v>695</v>
      </c>
    </row>
    <row r="68" spans="1:31" x14ac:dyDescent="0.35">
      <c r="A68" s="32" t="s">
        <v>28</v>
      </c>
      <c r="B68" s="32" t="s">
        <v>218</v>
      </c>
      <c r="C68" s="33">
        <v>207</v>
      </c>
      <c r="M68" s="35" t="s">
        <v>218</v>
      </c>
      <c r="N68" s="35" t="s">
        <v>18</v>
      </c>
      <c r="O68" s="36">
        <v>207</v>
      </c>
      <c r="Y68" s="32" t="str">
        <f>IF(AmazonSales!C66-AmazonSales!B66&lt;0,"",AmazonSales!C66-AmazonSales!B66)</f>
        <v/>
      </c>
      <c r="AC68" s="32" t="s">
        <v>218</v>
      </c>
      <c r="AD68" s="35" t="s">
        <v>33</v>
      </c>
      <c r="AE68" s="36">
        <v>207</v>
      </c>
    </row>
    <row r="69" spans="1:31" x14ac:dyDescent="0.35">
      <c r="A69" s="32" t="s">
        <v>50</v>
      </c>
      <c r="B69" s="32" t="s">
        <v>211</v>
      </c>
      <c r="C69" s="33">
        <v>42</v>
      </c>
      <c r="M69" s="35" t="s">
        <v>211</v>
      </c>
      <c r="N69" s="35" t="s">
        <v>18</v>
      </c>
      <c r="O69" s="36">
        <v>42</v>
      </c>
      <c r="Y69" s="32" t="str">
        <f>IF(AmazonSales!C67-AmazonSales!B67&lt;0,"",AmazonSales!C67-AmazonSales!B67)</f>
        <v/>
      </c>
      <c r="AC69" s="32" t="s">
        <v>211</v>
      </c>
      <c r="AD69" s="35" t="s">
        <v>17</v>
      </c>
      <c r="AE69" s="36">
        <v>42</v>
      </c>
    </row>
    <row r="70" spans="1:31" x14ac:dyDescent="0.35">
      <c r="A70" s="32" t="s">
        <v>16</v>
      </c>
      <c r="B70" s="32" t="s">
        <v>203</v>
      </c>
      <c r="C70" s="33">
        <v>124</v>
      </c>
      <c r="M70" s="35" t="s">
        <v>203</v>
      </c>
      <c r="N70" s="35" t="s">
        <v>25</v>
      </c>
      <c r="O70" s="36">
        <v>124</v>
      </c>
      <c r="Y70" s="32">
        <f>IF(AmazonSales!C68-AmazonSales!B68&lt;0,"",AmazonSales!C68-AmazonSales!B68)</f>
        <v>2</v>
      </c>
      <c r="AC70" s="32" t="s">
        <v>203</v>
      </c>
      <c r="AD70" s="35" t="s">
        <v>24</v>
      </c>
      <c r="AE70" s="36">
        <v>124</v>
      </c>
    </row>
    <row r="71" spans="1:31" x14ac:dyDescent="0.35">
      <c r="A71" s="32" t="s">
        <v>50</v>
      </c>
      <c r="B71" s="32" t="s">
        <v>200</v>
      </c>
      <c r="C71" s="33">
        <v>312</v>
      </c>
      <c r="M71" s="35" t="s">
        <v>200</v>
      </c>
      <c r="N71" s="35" t="s">
        <v>29</v>
      </c>
      <c r="O71" s="36">
        <v>312</v>
      </c>
      <c r="Y71" s="32" t="str">
        <f>IF(AmazonSales!C69-AmazonSales!B69&lt;0,"",AmazonSales!C69-AmazonSales!B69)</f>
        <v/>
      </c>
      <c r="AC71" s="32" t="s">
        <v>200</v>
      </c>
      <c r="AD71" s="35" t="s">
        <v>24</v>
      </c>
      <c r="AE71" s="36">
        <v>312</v>
      </c>
    </row>
    <row r="72" spans="1:31" x14ac:dyDescent="0.35">
      <c r="A72" s="32" t="s">
        <v>23</v>
      </c>
      <c r="B72" s="32" t="s">
        <v>211</v>
      </c>
      <c r="C72" s="33">
        <v>116</v>
      </c>
      <c r="M72" s="35" t="s">
        <v>211</v>
      </c>
      <c r="N72" s="35" t="s">
        <v>18</v>
      </c>
      <c r="O72" s="36">
        <v>116</v>
      </c>
      <c r="Y72" s="32" t="str">
        <f>IF(AmazonSales!C70-AmazonSales!B70&lt;0,"",AmazonSales!C70-AmazonSales!B70)</f>
        <v/>
      </c>
      <c r="AC72" s="32" t="s">
        <v>211</v>
      </c>
      <c r="AD72" s="35" t="s">
        <v>17</v>
      </c>
      <c r="AE72" s="36">
        <v>116</v>
      </c>
    </row>
    <row r="73" spans="1:31" x14ac:dyDescent="0.35">
      <c r="A73" s="32" t="s">
        <v>50</v>
      </c>
      <c r="B73" s="32" t="s">
        <v>203</v>
      </c>
      <c r="C73" s="33">
        <v>124</v>
      </c>
      <c r="M73" s="35" t="s">
        <v>203</v>
      </c>
      <c r="N73" s="35" t="s">
        <v>18</v>
      </c>
      <c r="O73" s="36">
        <v>124</v>
      </c>
      <c r="Y73" s="32" t="str">
        <f>IF(AmazonSales!C71-AmazonSales!B71&lt;0,"",AmazonSales!C71-AmazonSales!B71)</f>
        <v/>
      </c>
      <c r="AC73" s="32" t="s">
        <v>203</v>
      </c>
      <c r="AD73" s="35" t="s">
        <v>46</v>
      </c>
      <c r="AE73" s="36">
        <v>124</v>
      </c>
    </row>
    <row r="74" spans="1:31" x14ac:dyDescent="0.35">
      <c r="A74" s="32" t="s">
        <v>23</v>
      </c>
      <c r="B74" s="32" t="s">
        <v>211</v>
      </c>
      <c r="C74" s="33">
        <v>43</v>
      </c>
      <c r="M74" s="35" t="s">
        <v>211</v>
      </c>
      <c r="N74" s="35" t="s">
        <v>25</v>
      </c>
      <c r="O74" s="36">
        <v>43</v>
      </c>
      <c r="Y74" s="32">
        <f>IF(AmazonSales!C72-AmazonSales!B72&lt;0,"",AmazonSales!C72-AmazonSales!B72)</f>
        <v>7</v>
      </c>
      <c r="AC74" s="32" t="s">
        <v>211</v>
      </c>
      <c r="AD74" s="35" t="s">
        <v>24</v>
      </c>
      <c r="AE74" s="36">
        <v>43</v>
      </c>
    </row>
    <row r="75" spans="1:31" x14ac:dyDescent="0.35">
      <c r="A75" s="32" t="s">
        <v>23</v>
      </c>
      <c r="B75" s="32" t="s">
        <v>203</v>
      </c>
      <c r="C75" s="33">
        <v>248</v>
      </c>
      <c r="M75" s="35" t="s">
        <v>203</v>
      </c>
      <c r="N75" s="35" t="s">
        <v>29</v>
      </c>
      <c r="O75" s="36">
        <v>248</v>
      </c>
      <c r="Y75" s="32" t="str">
        <f>IF(AmazonSales!C73-AmazonSales!B73&lt;0,"",AmazonSales!C73-AmazonSales!B73)</f>
        <v/>
      </c>
      <c r="AC75" s="32" t="s">
        <v>203</v>
      </c>
      <c r="AD75" s="35" t="s">
        <v>46</v>
      </c>
      <c r="AE75" s="36">
        <v>248</v>
      </c>
    </row>
    <row r="76" spans="1:31" x14ac:dyDescent="0.35">
      <c r="A76" s="32" t="s">
        <v>16</v>
      </c>
      <c r="B76" s="32" t="s">
        <v>211</v>
      </c>
      <c r="C76" s="33">
        <v>190</v>
      </c>
      <c r="M76" s="35" t="s">
        <v>211</v>
      </c>
      <c r="N76" s="35" t="s">
        <v>18</v>
      </c>
      <c r="O76" s="36">
        <v>190</v>
      </c>
      <c r="Y76" s="32" t="str">
        <f>IF(AmazonSales!C74-AmazonSales!B74&lt;0,"",AmazonSales!C74-AmazonSales!B74)</f>
        <v/>
      </c>
      <c r="AC76" s="32" t="s">
        <v>211</v>
      </c>
      <c r="AD76" s="35" t="s">
        <v>33</v>
      </c>
      <c r="AE76" s="36">
        <v>190</v>
      </c>
    </row>
    <row r="77" spans="1:31" x14ac:dyDescent="0.35">
      <c r="A77" s="32" t="s">
        <v>45</v>
      </c>
      <c r="B77" s="32" t="s">
        <v>206</v>
      </c>
      <c r="C77" s="33">
        <v>144</v>
      </c>
      <c r="M77" s="35" t="s">
        <v>206</v>
      </c>
      <c r="N77" s="35" t="s">
        <v>25</v>
      </c>
      <c r="O77" s="36">
        <v>144</v>
      </c>
      <c r="Y77" s="32">
        <f>IF(AmazonSales!C75-AmazonSales!B75&lt;0,"",AmazonSales!C75-AmazonSales!B75)</f>
        <v>6</v>
      </c>
      <c r="AC77" s="32" t="s">
        <v>206</v>
      </c>
      <c r="AD77" s="35" t="s">
        <v>17</v>
      </c>
      <c r="AE77" s="36">
        <v>144</v>
      </c>
    </row>
    <row r="78" spans="1:31" x14ac:dyDescent="0.35">
      <c r="A78" s="32" t="s">
        <v>23</v>
      </c>
      <c r="B78" s="32" t="s">
        <v>200</v>
      </c>
      <c r="C78" s="33">
        <v>365</v>
      </c>
      <c r="M78" s="35" t="s">
        <v>200</v>
      </c>
      <c r="N78" s="35" t="s">
        <v>29</v>
      </c>
      <c r="O78" s="36">
        <v>365</v>
      </c>
      <c r="Y78" s="32" t="str">
        <f>IF(AmazonSales!C76-AmazonSales!B76&lt;0,"",AmazonSales!C76-AmazonSales!B76)</f>
        <v/>
      </c>
      <c r="AC78" s="32" t="s">
        <v>200</v>
      </c>
      <c r="AD78" s="35" t="s">
        <v>17</v>
      </c>
      <c r="AE78" s="36">
        <v>365</v>
      </c>
    </row>
    <row r="79" spans="1:31" x14ac:dyDescent="0.35">
      <c r="A79" s="32" t="s">
        <v>16</v>
      </c>
      <c r="B79" s="32" t="s">
        <v>211</v>
      </c>
      <c r="C79" s="33">
        <v>172</v>
      </c>
      <c r="M79" s="35" t="s">
        <v>211</v>
      </c>
      <c r="N79" s="35" t="s">
        <v>25</v>
      </c>
      <c r="O79" s="36">
        <v>172</v>
      </c>
      <c r="Y79" s="32">
        <f>IF(AmazonSales!C77-AmazonSales!B77&lt;0,"",AmazonSales!C77-AmazonSales!B77)</f>
        <v>6</v>
      </c>
      <c r="AC79" s="32" t="s">
        <v>211</v>
      </c>
      <c r="AD79" s="35" t="s">
        <v>46</v>
      </c>
      <c r="AE79" s="36">
        <v>172</v>
      </c>
    </row>
    <row r="80" spans="1:31" x14ac:dyDescent="0.35">
      <c r="A80" s="32" t="s">
        <v>50</v>
      </c>
      <c r="B80" s="32" t="s">
        <v>206</v>
      </c>
      <c r="C80" s="33">
        <v>1070</v>
      </c>
      <c r="M80" s="35" t="s">
        <v>206</v>
      </c>
      <c r="N80" s="35" t="s">
        <v>25</v>
      </c>
      <c r="O80" s="36">
        <v>1070</v>
      </c>
      <c r="Y80" s="32">
        <f>IF(AmazonSales!C78-AmazonSales!B78&lt;0,"",AmazonSales!C78-AmazonSales!B78)</f>
        <v>2</v>
      </c>
      <c r="AC80" s="32" t="s">
        <v>206</v>
      </c>
      <c r="AD80" s="35" t="s">
        <v>46</v>
      </c>
      <c r="AE80" s="36">
        <v>1070</v>
      </c>
    </row>
    <row r="81" spans="1:31" x14ac:dyDescent="0.35">
      <c r="A81" s="32" t="s">
        <v>45</v>
      </c>
      <c r="B81" s="32" t="s">
        <v>203</v>
      </c>
      <c r="C81" s="33">
        <v>84</v>
      </c>
      <c r="M81" s="35" t="s">
        <v>203</v>
      </c>
      <c r="N81" s="35" t="s">
        <v>18</v>
      </c>
      <c r="O81" s="36">
        <v>84</v>
      </c>
      <c r="Y81" s="32" t="str">
        <f>IF(AmazonSales!C79-AmazonSales!B79&lt;0,"",AmazonSales!C79-AmazonSales!B79)</f>
        <v/>
      </c>
      <c r="AC81" s="32" t="s">
        <v>203</v>
      </c>
      <c r="AD81" s="35" t="s">
        <v>17</v>
      </c>
      <c r="AE81" s="36">
        <v>84</v>
      </c>
    </row>
    <row r="82" spans="1:31" x14ac:dyDescent="0.35">
      <c r="A82" s="32" t="s">
        <v>16</v>
      </c>
      <c r="B82" s="32" t="s">
        <v>206</v>
      </c>
      <c r="C82" s="33">
        <v>46</v>
      </c>
      <c r="M82" s="35" t="s">
        <v>206</v>
      </c>
      <c r="N82" s="35" t="s">
        <v>29</v>
      </c>
      <c r="O82" s="36">
        <v>46</v>
      </c>
      <c r="Y82" s="32" t="str">
        <f>IF(AmazonSales!C80-AmazonSales!B80&lt;0,"",AmazonSales!C80-AmazonSales!B80)</f>
        <v/>
      </c>
      <c r="AC82" s="32" t="s">
        <v>206</v>
      </c>
      <c r="AD82" s="35" t="s">
        <v>41</v>
      </c>
      <c r="AE82" s="36">
        <v>46</v>
      </c>
    </row>
    <row r="83" spans="1:31" x14ac:dyDescent="0.35">
      <c r="A83" s="32" t="s">
        <v>23</v>
      </c>
      <c r="B83" s="32" t="s">
        <v>203</v>
      </c>
      <c r="C83" s="33">
        <v>380</v>
      </c>
      <c r="M83" s="35" t="s">
        <v>203</v>
      </c>
      <c r="N83" s="35" t="s">
        <v>25</v>
      </c>
      <c r="O83" s="36">
        <v>380</v>
      </c>
      <c r="Y83" s="32">
        <f>IF(AmazonSales!C81-AmazonSales!B81&lt;0,"",AmazonSales!C81-AmazonSales!B81)</f>
        <v>3</v>
      </c>
      <c r="AC83" s="32" t="s">
        <v>203</v>
      </c>
      <c r="AD83" s="35" t="s">
        <v>24</v>
      </c>
      <c r="AE83" s="36">
        <v>380</v>
      </c>
    </row>
    <row r="84" spans="1:31" x14ac:dyDescent="0.35">
      <c r="A84" s="32" t="s">
        <v>50</v>
      </c>
      <c r="B84" s="32" t="s">
        <v>200</v>
      </c>
      <c r="C84" s="33">
        <v>348</v>
      </c>
      <c r="M84" s="35" t="s">
        <v>200</v>
      </c>
      <c r="N84" s="35" t="s">
        <v>29</v>
      </c>
      <c r="O84" s="36">
        <v>348</v>
      </c>
      <c r="Y84" s="32" t="str">
        <f>IF(AmazonSales!C82-AmazonSales!B82&lt;0,"",AmazonSales!C82-AmazonSales!B82)</f>
        <v/>
      </c>
      <c r="AC84" s="32" t="s">
        <v>200</v>
      </c>
      <c r="AD84" s="35" t="s">
        <v>33</v>
      </c>
      <c r="AE84" s="36">
        <v>348</v>
      </c>
    </row>
    <row r="85" spans="1:31" x14ac:dyDescent="0.35">
      <c r="A85" s="32" t="s">
        <v>16</v>
      </c>
      <c r="B85" s="32" t="s">
        <v>211</v>
      </c>
      <c r="C85" s="33">
        <v>135</v>
      </c>
      <c r="M85" s="35" t="s">
        <v>211</v>
      </c>
      <c r="N85" s="35" t="s">
        <v>18</v>
      </c>
      <c r="O85" s="36">
        <v>135</v>
      </c>
      <c r="Y85" s="32" t="str">
        <f>IF(AmazonSales!C83-AmazonSales!B83&lt;0,"",AmazonSales!C83-AmazonSales!B83)</f>
        <v/>
      </c>
      <c r="AC85" s="32" t="s">
        <v>211</v>
      </c>
      <c r="AD85" s="35" t="s">
        <v>24</v>
      </c>
      <c r="AE85" s="36">
        <v>135</v>
      </c>
    </row>
    <row r="86" spans="1:31" x14ac:dyDescent="0.35">
      <c r="A86" s="32" t="s">
        <v>28</v>
      </c>
      <c r="B86" s="32" t="s">
        <v>211</v>
      </c>
      <c r="C86" s="33">
        <v>108</v>
      </c>
      <c r="M86" s="35" t="s">
        <v>211</v>
      </c>
      <c r="N86" s="35" t="s">
        <v>25</v>
      </c>
      <c r="O86" s="36">
        <v>108</v>
      </c>
      <c r="Y86" s="32">
        <f>IF(AmazonSales!C84-AmazonSales!B84&lt;0,"",AmazonSales!C84-AmazonSales!B84)</f>
        <v>2</v>
      </c>
      <c r="AC86" s="32" t="s">
        <v>211</v>
      </c>
      <c r="AD86" s="35" t="s">
        <v>33</v>
      </c>
      <c r="AE86" s="36">
        <v>108</v>
      </c>
    </row>
    <row r="87" spans="1:31" x14ac:dyDescent="0.35">
      <c r="A87" s="32" t="s">
        <v>28</v>
      </c>
      <c r="B87" s="32" t="s">
        <v>211</v>
      </c>
      <c r="C87" s="33">
        <v>130</v>
      </c>
      <c r="M87" s="35" t="s">
        <v>211</v>
      </c>
      <c r="N87" s="35" t="s">
        <v>29</v>
      </c>
      <c r="O87" s="36">
        <v>130</v>
      </c>
      <c r="Y87" s="32" t="str">
        <f>IF(AmazonSales!C85-AmazonSales!B85&lt;0,"",AmazonSales!C85-AmazonSales!B85)</f>
        <v/>
      </c>
      <c r="AC87" s="32" t="s">
        <v>211</v>
      </c>
      <c r="AD87" s="35" t="s">
        <v>33</v>
      </c>
      <c r="AE87" s="36">
        <v>130</v>
      </c>
    </row>
    <row r="88" spans="1:31" x14ac:dyDescent="0.35">
      <c r="A88" s="32" t="s">
        <v>23</v>
      </c>
      <c r="B88" s="32" t="s">
        <v>211</v>
      </c>
      <c r="C88" s="33">
        <v>215</v>
      </c>
      <c r="M88" s="35" t="s">
        <v>211</v>
      </c>
      <c r="N88" s="35" t="s">
        <v>29</v>
      </c>
      <c r="O88" s="36">
        <v>215</v>
      </c>
      <c r="Y88" s="32" t="str">
        <f>IF(AmazonSales!C86-AmazonSales!B86&lt;0,"",AmazonSales!C86-AmazonSales!B86)</f>
        <v/>
      </c>
      <c r="AC88" s="32" t="s">
        <v>211</v>
      </c>
      <c r="AD88" s="35" t="s">
        <v>46</v>
      </c>
      <c r="AE88" s="36">
        <v>215</v>
      </c>
    </row>
    <row r="89" spans="1:31" x14ac:dyDescent="0.35">
      <c r="A89" s="32" t="s">
        <v>50</v>
      </c>
      <c r="B89" s="32" t="s">
        <v>206</v>
      </c>
      <c r="C89" s="33">
        <v>210</v>
      </c>
      <c r="M89" s="35" t="s">
        <v>206</v>
      </c>
      <c r="N89" s="35" t="s">
        <v>29</v>
      </c>
      <c r="O89" s="36">
        <v>210</v>
      </c>
      <c r="Y89" s="32" t="str">
        <f>IF(AmazonSales!C87-AmazonSales!B87&lt;0,"",AmazonSales!C87-AmazonSales!B87)</f>
        <v/>
      </c>
      <c r="AC89" s="32" t="s">
        <v>206</v>
      </c>
      <c r="AD89" s="35" t="s">
        <v>33</v>
      </c>
      <c r="AE89" s="36">
        <v>210</v>
      </c>
    </row>
    <row r="90" spans="1:31" x14ac:dyDescent="0.35">
      <c r="A90" s="32" t="s">
        <v>28</v>
      </c>
      <c r="B90" s="32" t="s">
        <v>206</v>
      </c>
      <c r="C90" s="33">
        <v>111</v>
      </c>
      <c r="M90" s="35" t="s">
        <v>206</v>
      </c>
      <c r="N90" s="35" t="s">
        <v>29</v>
      </c>
      <c r="O90" s="36">
        <v>111</v>
      </c>
      <c r="Y90" s="32" t="str">
        <f>IF(AmazonSales!C88-AmazonSales!B88&lt;0,"",AmazonSales!C88-AmazonSales!B88)</f>
        <v/>
      </c>
      <c r="AC90" s="32" t="s">
        <v>206</v>
      </c>
      <c r="AD90" s="35" t="s">
        <v>24</v>
      </c>
      <c r="AE90" s="36">
        <v>111</v>
      </c>
    </row>
    <row r="91" spans="1:31" x14ac:dyDescent="0.35">
      <c r="A91" s="32" t="s">
        <v>28</v>
      </c>
      <c r="B91" s="32" t="s">
        <v>200</v>
      </c>
      <c r="C91" s="33">
        <v>3152</v>
      </c>
      <c r="M91" s="35" t="s">
        <v>200</v>
      </c>
      <c r="N91" s="35" t="s">
        <v>29</v>
      </c>
      <c r="O91" s="36">
        <v>3152</v>
      </c>
      <c r="Y91" s="32" t="str">
        <f>IF(AmazonSales!C89-AmazonSales!B89&lt;0,"",AmazonSales!C89-AmazonSales!B89)</f>
        <v/>
      </c>
      <c r="AC91" s="32" t="s">
        <v>200</v>
      </c>
      <c r="AD91" s="35" t="s">
        <v>46</v>
      </c>
      <c r="AE91" s="36">
        <v>3152</v>
      </c>
    </row>
    <row r="92" spans="1:31" x14ac:dyDescent="0.35">
      <c r="A92" s="32" t="s">
        <v>50</v>
      </c>
      <c r="B92" s="32" t="s">
        <v>206</v>
      </c>
      <c r="C92" s="33">
        <v>1085</v>
      </c>
      <c r="M92" s="35" t="s">
        <v>206</v>
      </c>
      <c r="N92" s="35" t="s">
        <v>29</v>
      </c>
      <c r="O92" s="36">
        <v>1085</v>
      </c>
      <c r="Y92" s="32" t="str">
        <f>IF(AmazonSales!C90-AmazonSales!B90&lt;0,"",AmazonSales!C90-AmazonSales!B90)</f>
        <v/>
      </c>
      <c r="AC92" s="32" t="s">
        <v>206</v>
      </c>
      <c r="AD92" s="35" t="s">
        <v>46</v>
      </c>
      <c r="AE92" s="36">
        <v>1085</v>
      </c>
    </row>
    <row r="93" spans="1:31" x14ac:dyDescent="0.35">
      <c r="A93" s="32" t="s">
        <v>50</v>
      </c>
      <c r="B93" s="32" t="s">
        <v>206</v>
      </c>
      <c r="C93" s="33">
        <v>552</v>
      </c>
      <c r="M93" s="35" t="s">
        <v>206</v>
      </c>
      <c r="N93" s="35" t="s">
        <v>29</v>
      </c>
      <c r="O93" s="36">
        <v>552</v>
      </c>
      <c r="Y93" s="32" t="str">
        <f>IF(AmazonSales!C91-AmazonSales!B91&lt;0,"",AmazonSales!C91-AmazonSales!B91)</f>
        <v/>
      </c>
      <c r="AC93" s="32" t="s">
        <v>206</v>
      </c>
      <c r="AD93" s="35" t="s">
        <v>24</v>
      </c>
      <c r="AE93" s="36">
        <v>552</v>
      </c>
    </row>
    <row r="94" spans="1:31" x14ac:dyDescent="0.35">
      <c r="A94" s="32" t="s">
        <v>45</v>
      </c>
      <c r="B94" s="32" t="s">
        <v>200</v>
      </c>
      <c r="C94" s="33">
        <v>1606</v>
      </c>
      <c r="M94" s="35" t="s">
        <v>200</v>
      </c>
      <c r="N94" s="35" t="s">
        <v>25</v>
      </c>
      <c r="O94" s="36">
        <v>1606</v>
      </c>
      <c r="Y94" s="32">
        <f>IF(AmazonSales!C92-AmazonSales!B92&lt;0,"",AmazonSales!C92-AmazonSales!B92)</f>
        <v>6</v>
      </c>
      <c r="AC94" s="32" t="s">
        <v>200</v>
      </c>
      <c r="AD94" s="35" t="s">
        <v>17</v>
      </c>
      <c r="AE94" s="36">
        <v>1606</v>
      </c>
    </row>
    <row r="95" spans="1:31" x14ac:dyDescent="0.35">
      <c r="A95" s="32" t="s">
        <v>16</v>
      </c>
      <c r="B95" s="32" t="s">
        <v>200</v>
      </c>
      <c r="C95" s="33">
        <v>1240</v>
      </c>
      <c r="M95" s="35" t="s">
        <v>200</v>
      </c>
      <c r="N95" s="35" t="s">
        <v>18</v>
      </c>
      <c r="O95" s="36">
        <v>1240</v>
      </c>
      <c r="Y95" s="32" t="str">
        <f>IF(AmazonSales!C93-AmazonSales!B93&lt;0,"",AmazonSales!C93-AmazonSales!B93)</f>
        <v/>
      </c>
      <c r="AC95" s="32" t="s">
        <v>200</v>
      </c>
      <c r="AD95" s="35" t="s">
        <v>33</v>
      </c>
      <c r="AE95" s="36">
        <v>1240</v>
      </c>
    </row>
    <row r="96" spans="1:31" x14ac:dyDescent="0.35">
      <c r="A96" s="32" t="s">
        <v>23</v>
      </c>
      <c r="B96" s="32" t="s">
        <v>206</v>
      </c>
      <c r="C96" s="33">
        <v>630</v>
      </c>
      <c r="M96" s="35" t="s">
        <v>206</v>
      </c>
      <c r="N96" s="35" t="s">
        <v>25</v>
      </c>
      <c r="O96" s="36">
        <v>630</v>
      </c>
      <c r="Y96" s="32">
        <f>IF(AmazonSales!C94-AmazonSales!B94&lt;0,"",AmazonSales!C94-AmazonSales!B94)</f>
        <v>2</v>
      </c>
      <c r="AC96" s="32" t="s">
        <v>206</v>
      </c>
      <c r="AD96" s="35" t="s">
        <v>17</v>
      </c>
      <c r="AE96" s="36">
        <v>630</v>
      </c>
    </row>
    <row r="97" spans="1:31" x14ac:dyDescent="0.35">
      <c r="A97" s="32" t="s">
        <v>16</v>
      </c>
      <c r="B97" s="32" t="s">
        <v>203</v>
      </c>
      <c r="C97" s="33">
        <v>124</v>
      </c>
      <c r="M97" s="35" t="s">
        <v>203</v>
      </c>
      <c r="N97" s="35" t="s">
        <v>18</v>
      </c>
      <c r="O97" s="36">
        <v>124</v>
      </c>
      <c r="Y97" s="32" t="str">
        <f>IF(AmazonSales!C95-AmazonSales!B95&lt;0,"",AmazonSales!C95-AmazonSales!B95)</f>
        <v/>
      </c>
      <c r="AC97" s="32" t="s">
        <v>203</v>
      </c>
      <c r="AD97" s="35" t="s">
        <v>24</v>
      </c>
      <c r="AE97" s="36">
        <v>124</v>
      </c>
    </row>
    <row r="98" spans="1:31" x14ac:dyDescent="0.35">
      <c r="A98" s="32" t="s">
        <v>28</v>
      </c>
      <c r="B98" s="32" t="s">
        <v>218</v>
      </c>
      <c r="C98" s="33">
        <v>55</v>
      </c>
      <c r="M98" s="35" t="s">
        <v>218</v>
      </c>
      <c r="N98" s="35" t="s">
        <v>18</v>
      </c>
      <c r="O98" s="36">
        <v>55</v>
      </c>
      <c r="Y98" s="32" t="str">
        <f>IF(AmazonSales!C96-AmazonSales!B96&lt;0,"",AmazonSales!C96-AmazonSales!B96)</f>
        <v/>
      </c>
      <c r="AC98" s="32" t="s">
        <v>218</v>
      </c>
      <c r="AD98" s="35" t="s">
        <v>46</v>
      </c>
      <c r="AE98" s="36">
        <v>55</v>
      </c>
    </row>
    <row r="99" spans="1:31" x14ac:dyDescent="0.35">
      <c r="A99" s="32" t="s">
        <v>16</v>
      </c>
      <c r="B99" s="32" t="s">
        <v>218</v>
      </c>
      <c r="C99" s="33">
        <v>42</v>
      </c>
      <c r="M99" s="35" t="s">
        <v>218</v>
      </c>
      <c r="N99" s="35" t="s">
        <v>25</v>
      </c>
      <c r="O99" s="36">
        <v>42</v>
      </c>
      <c r="Y99" s="32">
        <f>IF(AmazonSales!C97-AmazonSales!B97&lt;0,"",AmazonSales!C97-AmazonSales!B97)</f>
        <v>3</v>
      </c>
      <c r="AC99" s="32" t="s">
        <v>218</v>
      </c>
      <c r="AD99" s="35" t="s">
        <v>41</v>
      </c>
      <c r="AE99" s="36">
        <v>42</v>
      </c>
    </row>
    <row r="100" spans="1:31" x14ac:dyDescent="0.35">
      <c r="A100" s="32" t="s">
        <v>50</v>
      </c>
      <c r="B100" s="32" t="s">
        <v>203</v>
      </c>
      <c r="C100" s="33">
        <v>475</v>
      </c>
      <c r="M100" s="35" t="s">
        <v>203</v>
      </c>
      <c r="N100" s="35" t="s">
        <v>25</v>
      </c>
      <c r="O100" s="36">
        <v>475</v>
      </c>
      <c r="Y100" s="32">
        <f>IF(AmazonSales!C98-AmazonSales!B98&lt;0,"",AmazonSales!C98-AmazonSales!B98)</f>
        <v>3</v>
      </c>
      <c r="AC100" s="32" t="s">
        <v>203</v>
      </c>
      <c r="AD100" s="35" t="s">
        <v>41</v>
      </c>
      <c r="AE100" s="36">
        <v>475</v>
      </c>
    </row>
    <row r="101" spans="1:31" x14ac:dyDescent="0.35">
      <c r="A101" s="32" t="s">
        <v>28</v>
      </c>
      <c r="B101" s="32" t="s">
        <v>206</v>
      </c>
      <c r="C101" s="33">
        <v>430</v>
      </c>
      <c r="M101" s="35" t="s">
        <v>206</v>
      </c>
      <c r="N101" s="35" t="s">
        <v>25</v>
      </c>
      <c r="O101" s="36">
        <v>430</v>
      </c>
      <c r="Y101" s="32">
        <f>IF(AmazonSales!C99-AmazonSales!B99&lt;0,"",AmazonSales!C99-AmazonSales!B99)</f>
        <v>5</v>
      </c>
      <c r="AC101" s="32" t="s">
        <v>206</v>
      </c>
      <c r="AD101" s="35" t="s">
        <v>33</v>
      </c>
      <c r="AE101" s="36">
        <v>430</v>
      </c>
    </row>
    <row r="102" spans="1:31" x14ac:dyDescent="0.35">
      <c r="A102" s="32" t="s">
        <v>50</v>
      </c>
      <c r="B102" s="32" t="s">
        <v>211</v>
      </c>
      <c r="C102" s="33">
        <v>215</v>
      </c>
      <c r="M102" s="35" t="s">
        <v>211</v>
      </c>
      <c r="N102" s="35" t="s">
        <v>18</v>
      </c>
      <c r="O102" s="36">
        <v>215</v>
      </c>
      <c r="Y102" s="32" t="str">
        <f>IF(AmazonSales!C100-AmazonSales!B100&lt;0,"",AmazonSales!C100-AmazonSales!B100)</f>
        <v/>
      </c>
      <c r="AC102" s="32" t="s">
        <v>211</v>
      </c>
      <c r="AD102" s="35" t="s">
        <v>24</v>
      </c>
      <c r="AE102" s="36">
        <v>215</v>
      </c>
    </row>
    <row r="103" spans="1:31" x14ac:dyDescent="0.35">
      <c r="A103" s="32" t="s">
        <v>50</v>
      </c>
      <c r="B103" s="32" t="s">
        <v>203</v>
      </c>
      <c r="C103" s="33">
        <v>168</v>
      </c>
      <c r="M103" s="35" t="s">
        <v>203</v>
      </c>
      <c r="N103" s="35" t="s">
        <v>29</v>
      </c>
      <c r="O103" s="36">
        <v>168</v>
      </c>
      <c r="Y103" s="32" t="str">
        <f>IF(AmazonSales!C101-AmazonSales!B101&lt;0,"",AmazonSales!C101-AmazonSales!B101)</f>
        <v/>
      </c>
      <c r="AC103" s="32" t="s">
        <v>203</v>
      </c>
      <c r="AD103" s="35" t="s">
        <v>46</v>
      </c>
      <c r="AE103" s="36">
        <v>168</v>
      </c>
    </row>
    <row r="104" spans="1:31" x14ac:dyDescent="0.35">
      <c r="B104" t="e">
        <v>#N/A</v>
      </c>
      <c r="C104" s="4"/>
      <c r="M104" s="1"/>
      <c r="N104" s="1"/>
      <c r="O104" s="11"/>
    </row>
    <row r="105" spans="1:31" x14ac:dyDescent="0.35">
      <c r="B105" t="e">
        <v>#N/A</v>
      </c>
      <c r="O105"/>
    </row>
    <row r="106" spans="1:31" x14ac:dyDescent="0.35">
      <c r="B106" t="e">
        <v>#N/A</v>
      </c>
      <c r="O106"/>
    </row>
    <row r="107" spans="1:31" x14ac:dyDescent="0.35">
      <c r="B107" t="e">
        <v>#N/A</v>
      </c>
      <c r="O107"/>
    </row>
    <row r="108" spans="1:31" x14ac:dyDescent="0.35">
      <c r="B108" t="e">
        <v>#N/A</v>
      </c>
      <c r="O108"/>
    </row>
    <row r="109" spans="1:31" x14ac:dyDescent="0.35">
      <c r="B109" t="e">
        <v>#N/A</v>
      </c>
      <c r="O109"/>
    </row>
    <row r="110" spans="1:31" x14ac:dyDescent="0.35">
      <c r="B110" t="e">
        <v>#N/A</v>
      </c>
      <c r="O110"/>
    </row>
    <row r="111" spans="1:31" x14ac:dyDescent="0.35">
      <c r="B111" t="e">
        <v>#N/A</v>
      </c>
      <c r="O111"/>
    </row>
    <row r="112" spans="1:31" x14ac:dyDescent="0.35">
      <c r="B112" t="e">
        <v>#N/A</v>
      </c>
      <c r="O112"/>
    </row>
    <row r="113" spans="2:15" x14ac:dyDescent="0.35">
      <c r="B113" t="e">
        <v>#N/A</v>
      </c>
      <c r="O113"/>
    </row>
    <row r="114" spans="2:15" x14ac:dyDescent="0.35">
      <c r="B114" t="e">
        <v>#N/A</v>
      </c>
      <c r="O114"/>
    </row>
    <row r="115" spans="2:15" x14ac:dyDescent="0.35">
      <c r="B115" t="e">
        <v>#N/A</v>
      </c>
      <c r="O115"/>
    </row>
    <row r="116" spans="2:15" x14ac:dyDescent="0.35">
      <c r="B116" t="e">
        <v>#N/A</v>
      </c>
      <c r="O116"/>
    </row>
    <row r="117" spans="2:15" x14ac:dyDescent="0.35">
      <c r="B117" t="e">
        <v>#N/A</v>
      </c>
      <c r="O117"/>
    </row>
    <row r="118" spans="2:15" x14ac:dyDescent="0.35">
      <c r="B118" t="e">
        <v>#N/A</v>
      </c>
      <c r="O118"/>
    </row>
    <row r="119" spans="2:15" x14ac:dyDescent="0.35">
      <c r="B119" t="e">
        <v>#N/A</v>
      </c>
      <c r="O119"/>
    </row>
    <row r="120" spans="2:15" x14ac:dyDescent="0.35">
      <c r="B120" t="e">
        <v>#N/A</v>
      </c>
      <c r="O120"/>
    </row>
    <row r="121" spans="2:15" x14ac:dyDescent="0.35">
      <c r="B121" t="e">
        <v>#N/A</v>
      </c>
      <c r="O121"/>
    </row>
    <row r="122" spans="2:15" x14ac:dyDescent="0.35">
      <c r="B122" t="e">
        <v>#N/A</v>
      </c>
      <c r="O122"/>
    </row>
    <row r="123" spans="2:15" x14ac:dyDescent="0.35">
      <c r="B123" t="e">
        <v>#N/A</v>
      </c>
      <c r="O123"/>
    </row>
    <row r="124" spans="2:15" x14ac:dyDescent="0.35">
      <c r="B124" t="e">
        <v>#N/A</v>
      </c>
      <c r="O124"/>
    </row>
    <row r="125" spans="2:15" x14ac:dyDescent="0.35">
      <c r="B125" t="e">
        <v>#N/A</v>
      </c>
      <c r="O125"/>
    </row>
    <row r="126" spans="2:15" x14ac:dyDescent="0.35">
      <c r="B126" t="e">
        <v>#N/A</v>
      </c>
      <c r="O126"/>
    </row>
    <row r="127" spans="2:15" x14ac:dyDescent="0.35">
      <c r="B127" t="e">
        <v>#N/A</v>
      </c>
      <c r="O127"/>
    </row>
    <row r="128" spans="2:15" x14ac:dyDescent="0.35">
      <c r="B128" t="e">
        <v>#N/A</v>
      </c>
      <c r="O128"/>
    </row>
    <row r="129" spans="2:15" x14ac:dyDescent="0.35">
      <c r="B129" t="e">
        <v>#N/A</v>
      </c>
      <c r="O129"/>
    </row>
    <row r="130" spans="2:15" x14ac:dyDescent="0.35">
      <c r="B130" t="e">
        <v>#N/A</v>
      </c>
      <c r="O130"/>
    </row>
    <row r="131" spans="2:15" x14ac:dyDescent="0.35">
      <c r="B131" t="e">
        <v>#N/A</v>
      </c>
      <c r="O131"/>
    </row>
    <row r="132" spans="2:15" x14ac:dyDescent="0.35">
      <c r="B132" t="e">
        <v>#N/A</v>
      </c>
      <c r="O132"/>
    </row>
    <row r="133" spans="2:15" x14ac:dyDescent="0.35">
      <c r="B133" t="e">
        <v>#N/A</v>
      </c>
      <c r="O133"/>
    </row>
    <row r="134" spans="2:15" x14ac:dyDescent="0.35">
      <c r="B134" t="e">
        <v>#N/A</v>
      </c>
      <c r="O134"/>
    </row>
    <row r="135" spans="2:15" x14ac:dyDescent="0.35">
      <c r="B135" t="e">
        <v>#N/A</v>
      </c>
      <c r="O135"/>
    </row>
    <row r="136" spans="2:15" x14ac:dyDescent="0.35">
      <c r="B136" t="e">
        <v>#N/A</v>
      </c>
      <c r="O136"/>
    </row>
    <row r="137" spans="2:15" x14ac:dyDescent="0.35">
      <c r="B137" t="e">
        <v>#N/A</v>
      </c>
      <c r="O137"/>
    </row>
    <row r="138" spans="2:15" x14ac:dyDescent="0.35">
      <c r="B138" t="e">
        <v>#N/A</v>
      </c>
      <c r="O138"/>
    </row>
    <row r="139" spans="2:15" x14ac:dyDescent="0.35">
      <c r="B139" t="e">
        <v>#N/A</v>
      </c>
      <c r="O139"/>
    </row>
    <row r="140" spans="2:15" x14ac:dyDescent="0.35">
      <c r="B140" t="e">
        <v>#N/A</v>
      </c>
      <c r="O140"/>
    </row>
    <row r="141" spans="2:15" x14ac:dyDescent="0.35">
      <c r="B141" t="e">
        <v>#N/A</v>
      </c>
      <c r="O141"/>
    </row>
    <row r="142" spans="2:15" x14ac:dyDescent="0.35">
      <c r="B142" t="e">
        <v>#N/A</v>
      </c>
      <c r="O142"/>
    </row>
    <row r="143" spans="2:15" x14ac:dyDescent="0.35">
      <c r="B143" t="e">
        <v>#N/A</v>
      </c>
      <c r="O143"/>
    </row>
    <row r="144" spans="2:15" x14ac:dyDescent="0.35">
      <c r="B144" t="e">
        <v>#N/A</v>
      </c>
      <c r="O144"/>
    </row>
    <row r="145" spans="2:15" x14ac:dyDescent="0.35">
      <c r="B145" t="e">
        <v>#N/A</v>
      </c>
      <c r="O145"/>
    </row>
    <row r="146" spans="2:15" x14ac:dyDescent="0.35">
      <c r="B146" t="e">
        <v>#N/A</v>
      </c>
      <c r="O146"/>
    </row>
    <row r="147" spans="2:15" x14ac:dyDescent="0.35">
      <c r="B147" t="e">
        <v>#N/A</v>
      </c>
      <c r="O147"/>
    </row>
    <row r="148" spans="2:15" x14ac:dyDescent="0.35">
      <c r="B148" t="e">
        <v>#N/A</v>
      </c>
      <c r="O148"/>
    </row>
    <row r="149" spans="2:15" x14ac:dyDescent="0.35">
      <c r="B149" t="e">
        <v>#N/A</v>
      </c>
      <c r="O149"/>
    </row>
    <row r="150" spans="2:15" x14ac:dyDescent="0.35">
      <c r="B150" t="e">
        <v>#N/A</v>
      </c>
      <c r="O150"/>
    </row>
    <row r="151" spans="2:15" x14ac:dyDescent="0.35">
      <c r="B151" t="e">
        <v>#N/A</v>
      </c>
      <c r="O151"/>
    </row>
    <row r="152" spans="2:15" x14ac:dyDescent="0.35">
      <c r="B152" t="e">
        <v>#N/A</v>
      </c>
      <c r="O152"/>
    </row>
    <row r="153" spans="2:15" x14ac:dyDescent="0.35">
      <c r="B153" t="e">
        <v>#N/A</v>
      </c>
      <c r="O153"/>
    </row>
    <row r="154" spans="2:15" x14ac:dyDescent="0.35">
      <c r="B154" t="e">
        <v>#N/A</v>
      </c>
      <c r="O154"/>
    </row>
    <row r="155" spans="2:15" x14ac:dyDescent="0.35">
      <c r="B155" t="e">
        <v>#N/A</v>
      </c>
      <c r="O155"/>
    </row>
    <row r="156" spans="2:15" x14ac:dyDescent="0.35">
      <c r="B156" t="e">
        <v>#N/A</v>
      </c>
      <c r="O156"/>
    </row>
    <row r="157" spans="2:15" x14ac:dyDescent="0.35">
      <c r="B157" t="e">
        <v>#N/A</v>
      </c>
      <c r="O157"/>
    </row>
    <row r="158" spans="2:15" x14ac:dyDescent="0.35">
      <c r="B158" t="e">
        <v>#N/A</v>
      </c>
      <c r="O158"/>
    </row>
    <row r="159" spans="2:15" x14ac:dyDescent="0.35">
      <c r="B159" t="e">
        <v>#N/A</v>
      </c>
      <c r="O159"/>
    </row>
    <row r="160" spans="2:15" x14ac:dyDescent="0.35">
      <c r="B160" t="e">
        <v>#N/A</v>
      </c>
      <c r="O160"/>
    </row>
    <row r="161" spans="2:15" x14ac:dyDescent="0.35">
      <c r="B161" t="e">
        <v>#N/A</v>
      </c>
      <c r="O161"/>
    </row>
    <row r="162" spans="2:15" x14ac:dyDescent="0.35">
      <c r="B162" t="e">
        <v>#N/A</v>
      </c>
      <c r="O162"/>
    </row>
    <row r="163" spans="2:15" x14ac:dyDescent="0.35">
      <c r="B163" t="e">
        <v>#N/A</v>
      </c>
      <c r="O163"/>
    </row>
    <row r="164" spans="2:15" x14ac:dyDescent="0.35">
      <c r="B164" t="e">
        <v>#N/A</v>
      </c>
      <c r="O164"/>
    </row>
    <row r="165" spans="2:15" x14ac:dyDescent="0.35">
      <c r="B165" t="e">
        <v>#N/A</v>
      </c>
      <c r="O165"/>
    </row>
    <row r="166" spans="2:15" x14ac:dyDescent="0.35">
      <c r="B166" t="e">
        <v>#N/A</v>
      </c>
      <c r="O166"/>
    </row>
    <row r="167" spans="2:15" x14ac:dyDescent="0.35">
      <c r="B167" t="e">
        <v>#N/A</v>
      </c>
      <c r="O167"/>
    </row>
    <row r="168" spans="2:15" x14ac:dyDescent="0.35">
      <c r="B168" t="e">
        <v>#N/A</v>
      </c>
      <c r="O168"/>
    </row>
    <row r="169" spans="2:15" x14ac:dyDescent="0.35">
      <c r="B169" t="e">
        <v>#N/A</v>
      </c>
      <c r="O169"/>
    </row>
    <row r="170" spans="2:15" x14ac:dyDescent="0.35">
      <c r="B170" t="e">
        <v>#N/A</v>
      </c>
      <c r="O170"/>
    </row>
    <row r="171" spans="2:15" x14ac:dyDescent="0.35">
      <c r="B171" t="e">
        <v>#N/A</v>
      </c>
      <c r="O171"/>
    </row>
    <row r="172" spans="2:15" x14ac:dyDescent="0.35">
      <c r="B172" t="e">
        <v>#N/A</v>
      </c>
      <c r="O172"/>
    </row>
    <row r="173" spans="2:15" x14ac:dyDescent="0.35">
      <c r="B173" t="e">
        <v>#N/A</v>
      </c>
      <c r="O173"/>
    </row>
    <row r="174" spans="2:15" x14ac:dyDescent="0.35">
      <c r="B174" t="e">
        <v>#N/A</v>
      </c>
      <c r="O174"/>
    </row>
    <row r="175" spans="2:15" x14ac:dyDescent="0.35">
      <c r="B175" t="e">
        <v>#N/A</v>
      </c>
      <c r="O175"/>
    </row>
    <row r="176" spans="2:15" x14ac:dyDescent="0.35">
      <c r="B176" t="e">
        <v>#N/A</v>
      </c>
      <c r="O176"/>
    </row>
    <row r="177" spans="2:15" x14ac:dyDescent="0.35">
      <c r="B177" t="e">
        <v>#N/A</v>
      </c>
      <c r="O177"/>
    </row>
    <row r="178" spans="2:15" x14ac:dyDescent="0.35">
      <c r="B178" t="e">
        <v>#N/A</v>
      </c>
      <c r="O178"/>
    </row>
    <row r="179" spans="2:15" x14ac:dyDescent="0.35">
      <c r="B179" t="e">
        <v>#N/A</v>
      </c>
      <c r="O179"/>
    </row>
    <row r="180" spans="2:15" x14ac:dyDescent="0.35">
      <c r="B180" t="e">
        <v>#N/A</v>
      </c>
      <c r="O180"/>
    </row>
    <row r="181" spans="2:15" x14ac:dyDescent="0.35">
      <c r="B181" t="e">
        <v>#N/A</v>
      </c>
      <c r="O181"/>
    </row>
    <row r="182" spans="2:15" x14ac:dyDescent="0.35">
      <c r="B182" t="e">
        <v>#N/A</v>
      </c>
      <c r="O182"/>
    </row>
    <row r="183" spans="2:15" x14ac:dyDescent="0.35">
      <c r="B183" t="e">
        <v>#N/A</v>
      </c>
      <c r="O183"/>
    </row>
    <row r="184" spans="2:15" x14ac:dyDescent="0.35">
      <c r="B184" t="e">
        <v>#N/A</v>
      </c>
      <c r="O184"/>
    </row>
    <row r="185" spans="2:15" x14ac:dyDescent="0.35">
      <c r="B185" t="e">
        <v>#N/A</v>
      </c>
      <c r="O185"/>
    </row>
    <row r="186" spans="2:15" x14ac:dyDescent="0.35">
      <c r="B186" t="e">
        <v>#N/A</v>
      </c>
      <c r="O186"/>
    </row>
    <row r="187" spans="2:15" x14ac:dyDescent="0.35">
      <c r="B187" t="e">
        <v>#N/A</v>
      </c>
      <c r="O187"/>
    </row>
    <row r="188" spans="2:15" x14ac:dyDescent="0.35">
      <c r="B188" t="e">
        <v>#N/A</v>
      </c>
      <c r="O188"/>
    </row>
    <row r="189" spans="2:15" x14ac:dyDescent="0.35">
      <c r="B189" t="e">
        <v>#N/A</v>
      </c>
      <c r="O189"/>
    </row>
    <row r="190" spans="2:15" x14ac:dyDescent="0.35">
      <c r="B190" t="e">
        <v>#N/A</v>
      </c>
      <c r="O190"/>
    </row>
    <row r="191" spans="2:15" x14ac:dyDescent="0.35">
      <c r="B191" t="e">
        <v>#N/A</v>
      </c>
      <c r="O191"/>
    </row>
    <row r="192" spans="2:15" x14ac:dyDescent="0.35">
      <c r="B192" t="e">
        <v>#N/A</v>
      </c>
      <c r="O192"/>
    </row>
    <row r="193" spans="2:15" x14ac:dyDescent="0.35">
      <c r="B193" t="e">
        <v>#N/A</v>
      </c>
      <c r="O193"/>
    </row>
    <row r="194" spans="2:15" x14ac:dyDescent="0.35">
      <c r="B194" t="e">
        <v>#N/A</v>
      </c>
      <c r="O194"/>
    </row>
    <row r="195" spans="2:15" x14ac:dyDescent="0.35">
      <c r="B195" t="e">
        <v>#N/A</v>
      </c>
      <c r="O195"/>
    </row>
    <row r="196" spans="2:15" x14ac:dyDescent="0.35">
      <c r="B196" t="e">
        <v>#N/A</v>
      </c>
      <c r="O196"/>
    </row>
    <row r="197" spans="2:15" x14ac:dyDescent="0.35">
      <c r="B197" t="e">
        <v>#N/A</v>
      </c>
      <c r="O197"/>
    </row>
    <row r="198" spans="2:15" x14ac:dyDescent="0.35">
      <c r="B198" t="e">
        <v>#N/A</v>
      </c>
      <c r="O198"/>
    </row>
    <row r="199" spans="2:15" x14ac:dyDescent="0.35">
      <c r="B199" t="e">
        <v>#N/A</v>
      </c>
      <c r="O199"/>
    </row>
    <row r="200" spans="2:15" x14ac:dyDescent="0.35">
      <c r="B200" t="e">
        <v>#N/A</v>
      </c>
      <c r="O200"/>
    </row>
    <row r="201" spans="2:15" x14ac:dyDescent="0.35">
      <c r="B201" t="e">
        <v>#N/A</v>
      </c>
      <c r="O201"/>
    </row>
    <row r="202" spans="2:15" x14ac:dyDescent="0.35">
      <c r="B202" t="e">
        <v>#N/A</v>
      </c>
      <c r="O202"/>
    </row>
    <row r="203" spans="2:15" x14ac:dyDescent="0.35">
      <c r="B203" t="e">
        <v>#N/A</v>
      </c>
      <c r="O203"/>
    </row>
    <row r="204" spans="2:15" x14ac:dyDescent="0.35">
      <c r="B204" t="e">
        <v>#N/A</v>
      </c>
      <c r="O204"/>
    </row>
    <row r="205" spans="2:15" x14ac:dyDescent="0.35">
      <c r="B205" t="e">
        <v>#N/A</v>
      </c>
      <c r="O205"/>
    </row>
    <row r="206" spans="2:15" x14ac:dyDescent="0.35">
      <c r="B206" t="e">
        <v>#N/A</v>
      </c>
      <c r="O206"/>
    </row>
    <row r="207" spans="2:15" x14ac:dyDescent="0.35">
      <c r="B207" t="e">
        <v>#N/A</v>
      </c>
      <c r="O207"/>
    </row>
    <row r="208" spans="2:15" x14ac:dyDescent="0.35">
      <c r="B208" t="e">
        <v>#N/A</v>
      </c>
      <c r="O208"/>
    </row>
    <row r="209" spans="2:15" x14ac:dyDescent="0.35">
      <c r="B209" t="e">
        <v>#N/A</v>
      </c>
      <c r="O209"/>
    </row>
    <row r="210" spans="2:15" x14ac:dyDescent="0.35">
      <c r="B210" t="e">
        <v>#N/A</v>
      </c>
      <c r="O210"/>
    </row>
    <row r="211" spans="2:15" x14ac:dyDescent="0.35">
      <c r="B211" t="e">
        <v>#N/A</v>
      </c>
      <c r="O211"/>
    </row>
    <row r="212" spans="2:15" x14ac:dyDescent="0.35">
      <c r="B212" t="e">
        <v>#N/A</v>
      </c>
      <c r="O212"/>
    </row>
    <row r="213" spans="2:15" x14ac:dyDescent="0.35">
      <c r="B213" t="e">
        <v>#N/A</v>
      </c>
      <c r="O213"/>
    </row>
    <row r="214" spans="2:15" x14ac:dyDescent="0.35">
      <c r="B214" t="e">
        <v>#N/A</v>
      </c>
      <c r="O214"/>
    </row>
    <row r="215" spans="2:15" x14ac:dyDescent="0.35">
      <c r="B215" t="e">
        <v>#N/A</v>
      </c>
      <c r="O215"/>
    </row>
    <row r="216" spans="2:15" x14ac:dyDescent="0.35">
      <c r="B216" t="e">
        <v>#N/A</v>
      </c>
      <c r="O216"/>
    </row>
    <row r="217" spans="2:15" x14ac:dyDescent="0.35">
      <c r="B217" t="e">
        <v>#N/A</v>
      </c>
      <c r="O217"/>
    </row>
    <row r="218" spans="2:15" x14ac:dyDescent="0.35">
      <c r="B218" t="e">
        <v>#N/A</v>
      </c>
      <c r="O218"/>
    </row>
    <row r="219" spans="2:15" x14ac:dyDescent="0.35">
      <c r="B219" t="e">
        <v>#N/A</v>
      </c>
      <c r="O219"/>
    </row>
    <row r="220" spans="2:15" x14ac:dyDescent="0.35">
      <c r="B220" t="e">
        <v>#N/A</v>
      </c>
      <c r="O220"/>
    </row>
    <row r="221" spans="2:15" x14ac:dyDescent="0.35">
      <c r="B221" t="e">
        <v>#N/A</v>
      </c>
      <c r="O221"/>
    </row>
    <row r="222" spans="2:15" x14ac:dyDescent="0.35">
      <c r="B222" t="e">
        <v>#N/A</v>
      </c>
      <c r="O222"/>
    </row>
    <row r="223" spans="2:15" x14ac:dyDescent="0.35">
      <c r="B223" t="e">
        <v>#N/A</v>
      </c>
      <c r="O223"/>
    </row>
    <row r="224" spans="2:15" x14ac:dyDescent="0.35">
      <c r="B224" t="e">
        <v>#N/A</v>
      </c>
      <c r="O224"/>
    </row>
    <row r="225" spans="2:15" x14ac:dyDescent="0.35">
      <c r="B225" t="e">
        <v>#N/A</v>
      </c>
      <c r="O225"/>
    </row>
    <row r="226" spans="2:15" x14ac:dyDescent="0.35">
      <c r="B226" t="e">
        <v>#N/A</v>
      </c>
      <c r="O226"/>
    </row>
    <row r="227" spans="2:15" x14ac:dyDescent="0.35">
      <c r="B227" t="e">
        <v>#N/A</v>
      </c>
      <c r="O227"/>
    </row>
    <row r="228" spans="2:15" x14ac:dyDescent="0.35">
      <c r="B228" t="e">
        <v>#N/A</v>
      </c>
      <c r="O228"/>
    </row>
    <row r="229" spans="2:15" x14ac:dyDescent="0.35">
      <c r="B229" t="e">
        <v>#N/A</v>
      </c>
      <c r="O229"/>
    </row>
    <row r="230" spans="2:15" x14ac:dyDescent="0.35">
      <c r="B230" t="e">
        <v>#N/A</v>
      </c>
      <c r="O230"/>
    </row>
    <row r="231" spans="2:15" x14ac:dyDescent="0.35">
      <c r="B231" t="e">
        <v>#N/A</v>
      </c>
      <c r="O231"/>
    </row>
    <row r="232" spans="2:15" x14ac:dyDescent="0.35">
      <c r="B232" t="e">
        <v>#N/A</v>
      </c>
      <c r="O232"/>
    </row>
    <row r="233" spans="2:15" x14ac:dyDescent="0.35">
      <c r="B233" t="e">
        <v>#N/A</v>
      </c>
      <c r="O233"/>
    </row>
    <row r="234" spans="2:15" x14ac:dyDescent="0.35">
      <c r="B234" t="e">
        <v>#N/A</v>
      </c>
      <c r="O234"/>
    </row>
    <row r="235" spans="2:15" x14ac:dyDescent="0.35">
      <c r="B235" t="e">
        <v>#N/A</v>
      </c>
      <c r="O235"/>
    </row>
    <row r="236" spans="2:15" x14ac:dyDescent="0.35">
      <c r="B236" t="e">
        <v>#N/A</v>
      </c>
      <c r="O236"/>
    </row>
    <row r="237" spans="2:15" x14ac:dyDescent="0.35">
      <c r="B237" t="e">
        <v>#N/A</v>
      </c>
      <c r="O237"/>
    </row>
    <row r="238" spans="2:15" x14ac:dyDescent="0.35">
      <c r="B238" t="e">
        <v>#N/A</v>
      </c>
      <c r="O238"/>
    </row>
    <row r="239" spans="2:15" x14ac:dyDescent="0.35">
      <c r="B239" t="e">
        <v>#N/A</v>
      </c>
      <c r="O239"/>
    </row>
    <row r="240" spans="2:15" x14ac:dyDescent="0.35">
      <c r="B240" t="e">
        <v>#N/A</v>
      </c>
      <c r="O240"/>
    </row>
    <row r="241" spans="2:15" x14ac:dyDescent="0.35">
      <c r="B241" t="e">
        <v>#N/A</v>
      </c>
      <c r="O241"/>
    </row>
    <row r="242" spans="2:15" x14ac:dyDescent="0.35">
      <c r="B242" t="e">
        <v>#N/A</v>
      </c>
      <c r="O242"/>
    </row>
    <row r="243" spans="2:15" x14ac:dyDescent="0.35">
      <c r="B243" t="e">
        <v>#N/A</v>
      </c>
      <c r="O243"/>
    </row>
    <row r="244" spans="2:15" x14ac:dyDescent="0.35">
      <c r="B244" t="e">
        <v>#N/A</v>
      </c>
      <c r="O244"/>
    </row>
    <row r="245" spans="2:15" x14ac:dyDescent="0.35">
      <c r="B245" t="e">
        <v>#N/A</v>
      </c>
      <c r="O245"/>
    </row>
    <row r="246" spans="2:15" x14ac:dyDescent="0.35">
      <c r="B246" t="e">
        <v>#N/A</v>
      </c>
      <c r="O246"/>
    </row>
    <row r="247" spans="2:15" x14ac:dyDescent="0.35">
      <c r="B247" t="e">
        <v>#N/A</v>
      </c>
      <c r="O247"/>
    </row>
    <row r="248" spans="2:15" x14ac:dyDescent="0.35">
      <c r="B248" t="e">
        <v>#N/A</v>
      </c>
      <c r="O248"/>
    </row>
    <row r="249" spans="2:15" x14ac:dyDescent="0.35">
      <c r="B249" t="e">
        <v>#N/A</v>
      </c>
      <c r="O249"/>
    </row>
    <row r="250" spans="2:15" x14ac:dyDescent="0.35">
      <c r="B250" t="e">
        <v>#N/A</v>
      </c>
      <c r="O250"/>
    </row>
    <row r="251" spans="2:15" x14ac:dyDescent="0.35">
      <c r="B251" t="e">
        <v>#N/A</v>
      </c>
      <c r="O251"/>
    </row>
    <row r="252" spans="2:15" x14ac:dyDescent="0.35">
      <c r="B252" t="e">
        <v>#N/A</v>
      </c>
      <c r="O252"/>
    </row>
    <row r="253" spans="2:15" x14ac:dyDescent="0.35">
      <c r="B253" t="e">
        <v>#N/A</v>
      </c>
      <c r="O253"/>
    </row>
    <row r="254" spans="2:15" x14ac:dyDescent="0.35">
      <c r="B254" t="e">
        <v>#N/A</v>
      </c>
      <c r="O254"/>
    </row>
    <row r="255" spans="2:15" x14ac:dyDescent="0.35">
      <c r="B255" t="e">
        <v>#N/A</v>
      </c>
      <c r="O255"/>
    </row>
    <row r="256" spans="2:15" x14ac:dyDescent="0.35">
      <c r="B256" t="e">
        <v>#N/A</v>
      </c>
      <c r="O256"/>
    </row>
    <row r="257" spans="2:15" x14ac:dyDescent="0.35">
      <c r="B257" t="e">
        <v>#N/A</v>
      </c>
      <c r="O257"/>
    </row>
    <row r="258" spans="2:15" x14ac:dyDescent="0.35">
      <c r="B258" t="e">
        <v>#N/A</v>
      </c>
      <c r="O258"/>
    </row>
    <row r="259" spans="2:15" x14ac:dyDescent="0.35">
      <c r="B259" t="e">
        <v>#N/A</v>
      </c>
      <c r="O259"/>
    </row>
    <row r="260" spans="2:15" x14ac:dyDescent="0.35">
      <c r="B260" t="e">
        <v>#N/A</v>
      </c>
      <c r="O260"/>
    </row>
    <row r="261" spans="2:15" x14ac:dyDescent="0.35">
      <c r="B261" t="e">
        <v>#N/A</v>
      </c>
      <c r="O261"/>
    </row>
    <row r="262" spans="2:15" x14ac:dyDescent="0.35">
      <c r="B262" t="e">
        <v>#N/A</v>
      </c>
      <c r="O262"/>
    </row>
    <row r="263" spans="2:15" x14ac:dyDescent="0.35">
      <c r="B263" t="e">
        <v>#N/A</v>
      </c>
      <c r="O263"/>
    </row>
    <row r="264" spans="2:15" x14ac:dyDescent="0.35">
      <c r="B264" t="e">
        <v>#N/A</v>
      </c>
      <c r="O264"/>
    </row>
    <row r="265" spans="2:15" x14ac:dyDescent="0.35">
      <c r="B265" t="e">
        <v>#N/A</v>
      </c>
      <c r="O265"/>
    </row>
    <row r="266" spans="2:15" x14ac:dyDescent="0.35">
      <c r="B266" t="e">
        <v>#N/A</v>
      </c>
      <c r="O266"/>
    </row>
    <row r="267" spans="2:15" x14ac:dyDescent="0.35">
      <c r="B267" t="e">
        <v>#N/A</v>
      </c>
      <c r="O267"/>
    </row>
    <row r="268" spans="2:15" x14ac:dyDescent="0.35">
      <c r="B268" t="e">
        <v>#N/A</v>
      </c>
      <c r="O268"/>
    </row>
    <row r="269" spans="2:15" x14ac:dyDescent="0.35">
      <c r="B269" t="e">
        <v>#N/A</v>
      </c>
      <c r="O269"/>
    </row>
    <row r="270" spans="2:15" x14ac:dyDescent="0.35">
      <c r="B270" t="e">
        <v>#N/A</v>
      </c>
      <c r="O270"/>
    </row>
    <row r="271" spans="2:15" x14ac:dyDescent="0.35">
      <c r="B271" t="e">
        <v>#N/A</v>
      </c>
      <c r="O271"/>
    </row>
    <row r="272" spans="2:15" x14ac:dyDescent="0.35">
      <c r="B272" t="e">
        <v>#N/A</v>
      </c>
      <c r="O272"/>
    </row>
    <row r="273" spans="2:15" x14ac:dyDescent="0.35">
      <c r="B273" t="e">
        <v>#N/A</v>
      </c>
      <c r="O273"/>
    </row>
    <row r="274" spans="2:15" x14ac:dyDescent="0.35">
      <c r="B274" t="e">
        <v>#N/A</v>
      </c>
      <c r="O274"/>
    </row>
    <row r="275" spans="2:15" x14ac:dyDescent="0.35">
      <c r="B275" t="e">
        <v>#N/A</v>
      </c>
      <c r="O275"/>
    </row>
    <row r="276" spans="2:15" x14ac:dyDescent="0.35">
      <c r="B276" t="e">
        <v>#N/A</v>
      </c>
      <c r="O276"/>
    </row>
    <row r="277" spans="2:15" x14ac:dyDescent="0.35">
      <c r="B277" t="e">
        <v>#N/A</v>
      </c>
      <c r="O277"/>
    </row>
    <row r="278" spans="2:15" x14ac:dyDescent="0.35">
      <c r="B278" t="e">
        <v>#N/A</v>
      </c>
      <c r="O278"/>
    </row>
    <row r="279" spans="2:15" x14ac:dyDescent="0.35">
      <c r="B279" t="e">
        <v>#N/A</v>
      </c>
      <c r="O279"/>
    </row>
    <row r="280" spans="2:15" x14ac:dyDescent="0.35">
      <c r="B280" t="e">
        <v>#N/A</v>
      </c>
      <c r="O280"/>
    </row>
    <row r="281" spans="2:15" x14ac:dyDescent="0.35">
      <c r="B281" t="e">
        <v>#N/A</v>
      </c>
      <c r="O281"/>
    </row>
    <row r="282" spans="2:15" x14ac:dyDescent="0.35">
      <c r="B282" t="e">
        <v>#N/A</v>
      </c>
      <c r="O282"/>
    </row>
    <row r="283" spans="2:15" x14ac:dyDescent="0.35">
      <c r="B283" t="e">
        <v>#N/A</v>
      </c>
      <c r="O283"/>
    </row>
    <row r="284" spans="2:15" x14ac:dyDescent="0.35">
      <c r="B284" t="e">
        <v>#N/A</v>
      </c>
      <c r="O284"/>
    </row>
    <row r="285" spans="2:15" x14ac:dyDescent="0.35">
      <c r="B285" t="e">
        <v>#N/A</v>
      </c>
      <c r="O285"/>
    </row>
    <row r="286" spans="2:15" x14ac:dyDescent="0.35">
      <c r="B286" t="e">
        <v>#N/A</v>
      </c>
      <c r="O286"/>
    </row>
    <row r="287" spans="2:15" x14ac:dyDescent="0.35">
      <c r="B287" t="e">
        <v>#N/A</v>
      </c>
      <c r="O287"/>
    </row>
    <row r="288" spans="2:15" x14ac:dyDescent="0.35">
      <c r="B288" t="e">
        <v>#N/A</v>
      </c>
      <c r="O288"/>
    </row>
    <row r="289" spans="2:15" x14ac:dyDescent="0.35">
      <c r="B289" t="e">
        <v>#N/A</v>
      </c>
      <c r="O289"/>
    </row>
    <row r="290" spans="2:15" x14ac:dyDescent="0.35">
      <c r="B290" t="e">
        <v>#N/A</v>
      </c>
      <c r="O290"/>
    </row>
    <row r="291" spans="2:15" x14ac:dyDescent="0.35">
      <c r="B291" t="e">
        <v>#N/A</v>
      </c>
      <c r="O291"/>
    </row>
    <row r="292" spans="2:15" x14ac:dyDescent="0.35">
      <c r="B292" t="e">
        <v>#N/A</v>
      </c>
      <c r="O292"/>
    </row>
    <row r="293" spans="2:15" x14ac:dyDescent="0.35">
      <c r="B293" t="e">
        <v>#N/A</v>
      </c>
      <c r="O293"/>
    </row>
    <row r="294" spans="2:15" x14ac:dyDescent="0.35">
      <c r="B294" t="e">
        <v>#N/A</v>
      </c>
      <c r="O294"/>
    </row>
    <row r="295" spans="2:15" x14ac:dyDescent="0.35">
      <c r="B295" t="e">
        <v>#N/A</v>
      </c>
      <c r="O295"/>
    </row>
    <row r="296" spans="2:15" x14ac:dyDescent="0.35">
      <c r="B296" t="e">
        <v>#N/A</v>
      </c>
      <c r="O296"/>
    </row>
    <row r="297" spans="2:15" x14ac:dyDescent="0.35">
      <c r="B297" t="e">
        <v>#N/A</v>
      </c>
      <c r="O297"/>
    </row>
    <row r="298" spans="2:15" x14ac:dyDescent="0.35">
      <c r="B298" t="e">
        <v>#N/A</v>
      </c>
      <c r="O298"/>
    </row>
    <row r="299" spans="2:15" x14ac:dyDescent="0.35">
      <c r="B299" t="e">
        <v>#N/A</v>
      </c>
      <c r="O299"/>
    </row>
    <row r="300" spans="2:15" x14ac:dyDescent="0.35">
      <c r="B300" t="e">
        <v>#N/A</v>
      </c>
      <c r="O300"/>
    </row>
    <row r="301" spans="2:15" x14ac:dyDescent="0.35">
      <c r="B301" t="e">
        <v>#N/A</v>
      </c>
      <c r="O301"/>
    </row>
    <row r="302" spans="2:15" x14ac:dyDescent="0.35">
      <c r="B302" t="e">
        <v>#N/A</v>
      </c>
      <c r="O302"/>
    </row>
    <row r="303" spans="2:15" x14ac:dyDescent="0.35">
      <c r="B303" t="e">
        <v>#N/A</v>
      </c>
      <c r="O303"/>
    </row>
    <row r="304" spans="2:15" x14ac:dyDescent="0.35">
      <c r="B304" t="e">
        <v>#N/A</v>
      </c>
      <c r="O304"/>
    </row>
    <row r="305" spans="2:15" x14ac:dyDescent="0.35">
      <c r="B305" t="e">
        <v>#N/A</v>
      </c>
      <c r="O305"/>
    </row>
    <row r="306" spans="2:15" x14ac:dyDescent="0.35">
      <c r="B306" t="e">
        <v>#N/A</v>
      </c>
      <c r="O306"/>
    </row>
    <row r="307" spans="2:15" x14ac:dyDescent="0.35">
      <c r="B307" t="e">
        <v>#N/A</v>
      </c>
      <c r="O307"/>
    </row>
    <row r="308" spans="2:15" x14ac:dyDescent="0.35">
      <c r="B308" t="e">
        <v>#N/A</v>
      </c>
      <c r="O308"/>
    </row>
    <row r="309" spans="2:15" x14ac:dyDescent="0.35">
      <c r="B309" t="e">
        <v>#N/A</v>
      </c>
      <c r="O309"/>
    </row>
    <row r="310" spans="2:15" x14ac:dyDescent="0.35">
      <c r="B310" t="e">
        <v>#N/A</v>
      </c>
      <c r="O310"/>
    </row>
    <row r="311" spans="2:15" x14ac:dyDescent="0.35">
      <c r="B311" t="e">
        <v>#N/A</v>
      </c>
      <c r="O311"/>
    </row>
    <row r="312" spans="2:15" x14ac:dyDescent="0.35">
      <c r="B312" t="e">
        <v>#N/A</v>
      </c>
      <c r="O312"/>
    </row>
    <row r="313" spans="2:15" x14ac:dyDescent="0.35">
      <c r="B313" t="e">
        <v>#N/A</v>
      </c>
      <c r="O313"/>
    </row>
    <row r="314" spans="2:15" x14ac:dyDescent="0.35">
      <c r="B314" t="e">
        <v>#N/A</v>
      </c>
      <c r="O314"/>
    </row>
    <row r="315" spans="2:15" x14ac:dyDescent="0.35">
      <c r="B315" t="e">
        <v>#N/A</v>
      </c>
      <c r="O315"/>
    </row>
    <row r="316" spans="2:15" x14ac:dyDescent="0.35">
      <c r="B316" t="e">
        <v>#N/A</v>
      </c>
      <c r="O316"/>
    </row>
    <row r="317" spans="2:15" x14ac:dyDescent="0.35">
      <c r="B317" t="e">
        <v>#N/A</v>
      </c>
      <c r="O317"/>
    </row>
    <row r="318" spans="2:15" x14ac:dyDescent="0.35">
      <c r="B318" t="e">
        <v>#N/A</v>
      </c>
      <c r="O318"/>
    </row>
    <row r="319" spans="2:15" x14ac:dyDescent="0.35">
      <c r="B319" t="e">
        <v>#N/A</v>
      </c>
      <c r="O319"/>
    </row>
    <row r="320" spans="2:15" x14ac:dyDescent="0.35">
      <c r="B320" t="e">
        <v>#N/A</v>
      </c>
      <c r="O320"/>
    </row>
    <row r="321" spans="2:15" x14ac:dyDescent="0.35">
      <c r="B321" t="e">
        <v>#N/A</v>
      </c>
      <c r="O321"/>
    </row>
    <row r="322" spans="2:15" x14ac:dyDescent="0.35">
      <c r="B322" t="e">
        <v>#N/A</v>
      </c>
      <c r="O322"/>
    </row>
    <row r="323" spans="2:15" x14ac:dyDescent="0.35">
      <c r="B323" t="e">
        <v>#N/A</v>
      </c>
      <c r="O323"/>
    </row>
    <row r="324" spans="2:15" x14ac:dyDescent="0.35">
      <c r="B324" t="e">
        <v>#N/A</v>
      </c>
      <c r="O324"/>
    </row>
    <row r="325" spans="2:15" x14ac:dyDescent="0.35">
      <c r="B325" t="e">
        <v>#N/A</v>
      </c>
      <c r="O325"/>
    </row>
    <row r="326" spans="2:15" x14ac:dyDescent="0.35">
      <c r="B326" t="e">
        <v>#N/A</v>
      </c>
      <c r="O326"/>
    </row>
    <row r="327" spans="2:15" x14ac:dyDescent="0.35">
      <c r="B327" t="e">
        <v>#N/A</v>
      </c>
      <c r="O327"/>
    </row>
    <row r="328" spans="2:15" x14ac:dyDescent="0.35">
      <c r="B328" t="e">
        <v>#N/A</v>
      </c>
      <c r="O328"/>
    </row>
    <row r="329" spans="2:15" x14ac:dyDescent="0.35">
      <c r="B329" t="e">
        <v>#N/A</v>
      </c>
      <c r="O329"/>
    </row>
    <row r="330" spans="2:15" x14ac:dyDescent="0.35">
      <c r="B330" t="e">
        <v>#N/A</v>
      </c>
      <c r="O330"/>
    </row>
    <row r="331" spans="2:15" x14ac:dyDescent="0.35">
      <c r="B331" t="e">
        <v>#N/A</v>
      </c>
      <c r="O331"/>
    </row>
    <row r="332" spans="2:15" x14ac:dyDescent="0.35">
      <c r="B332" t="e">
        <v>#N/A</v>
      </c>
      <c r="O332"/>
    </row>
    <row r="333" spans="2:15" x14ac:dyDescent="0.35">
      <c r="B333" t="e">
        <v>#N/A</v>
      </c>
      <c r="O333"/>
    </row>
    <row r="334" spans="2:15" x14ac:dyDescent="0.35">
      <c r="B334" t="e">
        <v>#N/A</v>
      </c>
      <c r="O334"/>
    </row>
    <row r="335" spans="2:15" x14ac:dyDescent="0.35">
      <c r="B335" t="e">
        <v>#N/A</v>
      </c>
      <c r="O335"/>
    </row>
    <row r="336" spans="2:15" x14ac:dyDescent="0.35">
      <c r="B336" t="e">
        <v>#N/A</v>
      </c>
      <c r="O336"/>
    </row>
    <row r="337" spans="2:15" x14ac:dyDescent="0.35">
      <c r="B337" t="e">
        <v>#N/A</v>
      </c>
      <c r="O337"/>
    </row>
    <row r="338" spans="2:15" x14ac:dyDescent="0.35">
      <c r="B338" t="e">
        <v>#N/A</v>
      </c>
      <c r="O338"/>
    </row>
    <row r="339" spans="2:15" x14ac:dyDescent="0.35">
      <c r="B339" t="e">
        <v>#N/A</v>
      </c>
      <c r="O339"/>
    </row>
    <row r="340" spans="2:15" x14ac:dyDescent="0.35">
      <c r="B340" t="e">
        <v>#N/A</v>
      </c>
      <c r="O340"/>
    </row>
    <row r="341" spans="2:15" x14ac:dyDescent="0.35">
      <c r="B341" t="e">
        <v>#N/A</v>
      </c>
      <c r="O341"/>
    </row>
    <row r="342" spans="2:15" x14ac:dyDescent="0.35">
      <c r="B342" t="e">
        <v>#N/A</v>
      </c>
      <c r="O342"/>
    </row>
    <row r="343" spans="2:15" x14ac:dyDescent="0.35">
      <c r="B343" t="e">
        <v>#N/A</v>
      </c>
      <c r="O343"/>
    </row>
    <row r="344" spans="2:15" x14ac:dyDescent="0.35">
      <c r="B344" t="e">
        <v>#N/A</v>
      </c>
      <c r="O344"/>
    </row>
    <row r="345" spans="2:15" x14ac:dyDescent="0.35">
      <c r="B345" t="e">
        <v>#N/A</v>
      </c>
      <c r="O345"/>
    </row>
    <row r="346" spans="2:15" x14ac:dyDescent="0.35">
      <c r="B346" t="e">
        <v>#N/A</v>
      </c>
      <c r="O346"/>
    </row>
    <row r="347" spans="2:15" x14ac:dyDescent="0.35">
      <c r="B347" t="e">
        <v>#N/A</v>
      </c>
      <c r="O347"/>
    </row>
    <row r="348" spans="2:15" x14ac:dyDescent="0.35">
      <c r="B348" t="e">
        <v>#N/A</v>
      </c>
      <c r="O348"/>
    </row>
    <row r="349" spans="2:15" x14ac:dyDescent="0.35">
      <c r="B349" t="e">
        <v>#N/A</v>
      </c>
      <c r="O349"/>
    </row>
    <row r="350" spans="2:15" x14ac:dyDescent="0.35">
      <c r="B350" t="e">
        <v>#N/A</v>
      </c>
      <c r="O350"/>
    </row>
    <row r="351" spans="2:15" x14ac:dyDescent="0.35">
      <c r="B351" t="e">
        <v>#N/A</v>
      </c>
      <c r="O351"/>
    </row>
    <row r="352" spans="2:15" x14ac:dyDescent="0.35">
      <c r="B352" t="e">
        <v>#N/A</v>
      </c>
      <c r="O352"/>
    </row>
    <row r="353" spans="2:15" x14ac:dyDescent="0.35">
      <c r="B353" t="e">
        <v>#N/A</v>
      </c>
      <c r="O353"/>
    </row>
    <row r="354" spans="2:15" x14ac:dyDescent="0.35">
      <c r="B354" t="e">
        <v>#N/A</v>
      </c>
      <c r="O354"/>
    </row>
    <row r="355" spans="2:15" x14ac:dyDescent="0.35">
      <c r="B355" t="e">
        <v>#N/A</v>
      </c>
      <c r="O355"/>
    </row>
    <row r="356" spans="2:15" x14ac:dyDescent="0.35">
      <c r="B356" t="e">
        <v>#N/A</v>
      </c>
      <c r="O356"/>
    </row>
    <row r="357" spans="2:15" x14ac:dyDescent="0.35">
      <c r="B357" t="e">
        <v>#N/A</v>
      </c>
      <c r="O357"/>
    </row>
    <row r="358" spans="2:15" x14ac:dyDescent="0.35">
      <c r="B358" t="e">
        <v>#N/A</v>
      </c>
      <c r="O358"/>
    </row>
    <row r="359" spans="2:15" x14ac:dyDescent="0.35">
      <c r="B359" t="e">
        <v>#N/A</v>
      </c>
      <c r="O359"/>
    </row>
    <row r="360" spans="2:15" x14ac:dyDescent="0.35">
      <c r="B360" t="e">
        <v>#N/A</v>
      </c>
      <c r="O360"/>
    </row>
    <row r="361" spans="2:15" x14ac:dyDescent="0.35">
      <c r="B361" t="e">
        <v>#N/A</v>
      </c>
      <c r="O361"/>
    </row>
    <row r="362" spans="2:15" x14ac:dyDescent="0.35">
      <c r="B362" t="e">
        <v>#N/A</v>
      </c>
      <c r="O362"/>
    </row>
    <row r="363" spans="2:15" x14ac:dyDescent="0.35">
      <c r="B363" t="e">
        <v>#N/A</v>
      </c>
      <c r="O363"/>
    </row>
    <row r="364" spans="2:15" x14ac:dyDescent="0.35">
      <c r="B364" t="e">
        <v>#N/A</v>
      </c>
      <c r="O364"/>
    </row>
    <row r="365" spans="2:15" x14ac:dyDescent="0.35">
      <c r="B365" t="e">
        <v>#N/A</v>
      </c>
      <c r="O365"/>
    </row>
    <row r="366" spans="2:15" x14ac:dyDescent="0.35">
      <c r="B366" t="e">
        <v>#N/A</v>
      </c>
      <c r="O366"/>
    </row>
    <row r="367" spans="2:15" x14ac:dyDescent="0.35">
      <c r="B367" t="e">
        <v>#N/A</v>
      </c>
      <c r="O367"/>
    </row>
    <row r="368" spans="2:15" x14ac:dyDescent="0.35">
      <c r="B368" t="e">
        <v>#N/A</v>
      </c>
      <c r="O368"/>
    </row>
    <row r="369" spans="2:15" x14ac:dyDescent="0.35">
      <c r="B369" t="e">
        <v>#N/A</v>
      </c>
      <c r="O369"/>
    </row>
    <row r="370" spans="2:15" x14ac:dyDescent="0.35">
      <c r="B370" t="e">
        <v>#N/A</v>
      </c>
      <c r="O370"/>
    </row>
    <row r="371" spans="2:15" x14ac:dyDescent="0.35">
      <c r="B371" t="e">
        <v>#N/A</v>
      </c>
      <c r="O371"/>
    </row>
    <row r="372" spans="2:15" x14ac:dyDescent="0.35">
      <c r="B372" t="e">
        <v>#N/A</v>
      </c>
      <c r="O372"/>
    </row>
    <row r="373" spans="2:15" x14ac:dyDescent="0.35">
      <c r="B373" t="e">
        <v>#N/A</v>
      </c>
      <c r="O373"/>
    </row>
    <row r="374" spans="2:15" x14ac:dyDescent="0.35">
      <c r="B374" t="e">
        <v>#N/A</v>
      </c>
      <c r="O374"/>
    </row>
    <row r="375" spans="2:15" x14ac:dyDescent="0.35">
      <c r="B375" t="e">
        <v>#N/A</v>
      </c>
      <c r="O375"/>
    </row>
    <row r="376" spans="2:15" x14ac:dyDescent="0.35">
      <c r="B376" t="e">
        <v>#N/A</v>
      </c>
      <c r="O376"/>
    </row>
    <row r="377" spans="2:15" x14ac:dyDescent="0.35">
      <c r="B377" t="e">
        <v>#N/A</v>
      </c>
      <c r="O377"/>
    </row>
    <row r="378" spans="2:15" x14ac:dyDescent="0.35">
      <c r="B378" t="e">
        <v>#N/A</v>
      </c>
      <c r="O378"/>
    </row>
    <row r="379" spans="2:15" x14ac:dyDescent="0.35">
      <c r="B379" t="e">
        <v>#N/A</v>
      </c>
      <c r="O379"/>
    </row>
    <row r="380" spans="2:15" x14ac:dyDescent="0.35">
      <c r="B380" t="e">
        <v>#N/A</v>
      </c>
      <c r="O380"/>
    </row>
    <row r="381" spans="2:15" x14ac:dyDescent="0.35">
      <c r="B381" t="e">
        <v>#N/A</v>
      </c>
      <c r="O381"/>
    </row>
    <row r="382" spans="2:15" x14ac:dyDescent="0.35">
      <c r="B382" t="e">
        <v>#N/A</v>
      </c>
      <c r="O382"/>
    </row>
    <row r="383" spans="2:15" x14ac:dyDescent="0.35">
      <c r="B383" t="e">
        <v>#N/A</v>
      </c>
      <c r="O383"/>
    </row>
    <row r="384" spans="2:15" x14ac:dyDescent="0.35">
      <c r="B384" t="e">
        <v>#N/A</v>
      </c>
      <c r="O384"/>
    </row>
    <row r="385" spans="2:15" x14ac:dyDescent="0.35">
      <c r="B385" t="e">
        <v>#N/A</v>
      </c>
      <c r="O385"/>
    </row>
    <row r="386" spans="2:15" x14ac:dyDescent="0.35">
      <c r="B386" t="e">
        <v>#N/A</v>
      </c>
      <c r="O386"/>
    </row>
    <row r="387" spans="2:15" x14ac:dyDescent="0.35">
      <c r="B387" t="e">
        <v>#N/A</v>
      </c>
      <c r="O387"/>
    </row>
    <row r="388" spans="2:15" x14ac:dyDescent="0.35">
      <c r="B388" t="e">
        <v>#N/A</v>
      </c>
      <c r="O388"/>
    </row>
    <row r="389" spans="2:15" x14ac:dyDescent="0.35">
      <c r="B389" t="e">
        <v>#N/A</v>
      </c>
      <c r="O389"/>
    </row>
    <row r="390" spans="2:15" x14ac:dyDescent="0.35">
      <c r="B390" t="e">
        <v>#N/A</v>
      </c>
      <c r="O390"/>
    </row>
    <row r="391" spans="2:15" x14ac:dyDescent="0.35">
      <c r="B391" t="e">
        <v>#N/A</v>
      </c>
      <c r="O391"/>
    </row>
    <row r="392" spans="2:15" x14ac:dyDescent="0.35">
      <c r="B392" t="e">
        <v>#N/A</v>
      </c>
      <c r="O392"/>
    </row>
    <row r="393" spans="2:15" x14ac:dyDescent="0.35">
      <c r="B393" t="e">
        <v>#N/A</v>
      </c>
      <c r="O393"/>
    </row>
    <row r="394" spans="2:15" x14ac:dyDescent="0.35">
      <c r="B394" t="e">
        <v>#N/A</v>
      </c>
      <c r="O394"/>
    </row>
    <row r="395" spans="2:15" x14ac:dyDescent="0.35">
      <c r="B395" t="e">
        <v>#N/A</v>
      </c>
      <c r="O395"/>
    </row>
    <row r="396" spans="2:15" x14ac:dyDescent="0.35">
      <c r="B396" t="e">
        <v>#N/A</v>
      </c>
      <c r="O396"/>
    </row>
    <row r="397" spans="2:15" x14ac:dyDescent="0.35">
      <c r="B397" t="e">
        <v>#N/A</v>
      </c>
      <c r="O397"/>
    </row>
    <row r="398" spans="2:15" x14ac:dyDescent="0.35">
      <c r="B398" t="e">
        <v>#N/A</v>
      </c>
      <c r="O398"/>
    </row>
    <row r="399" spans="2:15" x14ac:dyDescent="0.35">
      <c r="B399" t="e">
        <v>#N/A</v>
      </c>
      <c r="O399"/>
    </row>
    <row r="400" spans="2:15" x14ac:dyDescent="0.35">
      <c r="B400" t="e">
        <v>#N/A</v>
      </c>
      <c r="O400"/>
    </row>
    <row r="401" spans="2:15" x14ac:dyDescent="0.35">
      <c r="B401" t="e">
        <v>#N/A</v>
      </c>
      <c r="O401"/>
    </row>
    <row r="402" spans="2:15" x14ac:dyDescent="0.35">
      <c r="B402" t="e">
        <v>#N/A</v>
      </c>
      <c r="O402"/>
    </row>
    <row r="403" spans="2:15" x14ac:dyDescent="0.35">
      <c r="B403" t="e">
        <v>#N/A</v>
      </c>
      <c r="O403"/>
    </row>
    <row r="404" spans="2:15" x14ac:dyDescent="0.35">
      <c r="B404" t="e">
        <v>#N/A</v>
      </c>
      <c r="O404"/>
    </row>
    <row r="405" spans="2:15" x14ac:dyDescent="0.35">
      <c r="B405" t="e">
        <v>#N/A</v>
      </c>
      <c r="O405"/>
    </row>
    <row r="406" spans="2:15" x14ac:dyDescent="0.35">
      <c r="B406" t="e">
        <v>#N/A</v>
      </c>
      <c r="O406"/>
    </row>
    <row r="407" spans="2:15" x14ac:dyDescent="0.35">
      <c r="B407" t="e">
        <v>#N/A</v>
      </c>
      <c r="O407"/>
    </row>
    <row r="408" spans="2:15" x14ac:dyDescent="0.35">
      <c r="B408" t="e">
        <v>#N/A</v>
      </c>
      <c r="O408"/>
    </row>
    <row r="409" spans="2:15" x14ac:dyDescent="0.35">
      <c r="B409" t="e">
        <v>#N/A</v>
      </c>
      <c r="O409"/>
    </row>
    <row r="410" spans="2:15" x14ac:dyDescent="0.35">
      <c r="B410" t="e">
        <v>#N/A</v>
      </c>
      <c r="O410"/>
    </row>
    <row r="411" spans="2:15" x14ac:dyDescent="0.35">
      <c r="B411" t="e">
        <v>#N/A</v>
      </c>
      <c r="O411"/>
    </row>
    <row r="412" spans="2:15" x14ac:dyDescent="0.35">
      <c r="B412" t="e">
        <v>#N/A</v>
      </c>
      <c r="O412"/>
    </row>
    <row r="413" spans="2:15" x14ac:dyDescent="0.35">
      <c r="B413" t="e">
        <v>#N/A</v>
      </c>
      <c r="O413"/>
    </row>
    <row r="414" spans="2:15" x14ac:dyDescent="0.35">
      <c r="B414" t="e">
        <v>#N/A</v>
      </c>
      <c r="O414"/>
    </row>
    <row r="415" spans="2:15" x14ac:dyDescent="0.35">
      <c r="B415" t="e">
        <v>#N/A</v>
      </c>
      <c r="O415"/>
    </row>
    <row r="416" spans="2:15" x14ac:dyDescent="0.35">
      <c r="B416" t="e">
        <v>#N/A</v>
      </c>
      <c r="O416"/>
    </row>
    <row r="417" spans="2:15" x14ac:dyDescent="0.35">
      <c r="B417" t="e">
        <v>#N/A</v>
      </c>
      <c r="O417"/>
    </row>
    <row r="418" spans="2:15" x14ac:dyDescent="0.35">
      <c r="B418" t="e">
        <v>#N/A</v>
      </c>
      <c r="O418"/>
    </row>
    <row r="419" spans="2:15" x14ac:dyDescent="0.35">
      <c r="B419" t="e">
        <v>#N/A</v>
      </c>
      <c r="O419"/>
    </row>
    <row r="420" spans="2:15" x14ac:dyDescent="0.35">
      <c r="B420" t="e">
        <v>#N/A</v>
      </c>
      <c r="O420"/>
    </row>
    <row r="421" spans="2:15" x14ac:dyDescent="0.35">
      <c r="B421" t="e">
        <v>#N/A</v>
      </c>
      <c r="O421"/>
    </row>
    <row r="422" spans="2:15" x14ac:dyDescent="0.35">
      <c r="B422" t="e">
        <v>#N/A</v>
      </c>
      <c r="O422"/>
    </row>
    <row r="423" spans="2:15" x14ac:dyDescent="0.35">
      <c r="B423" t="e">
        <v>#N/A</v>
      </c>
      <c r="O423"/>
    </row>
    <row r="424" spans="2:15" x14ac:dyDescent="0.35">
      <c r="B424" t="e">
        <v>#N/A</v>
      </c>
      <c r="O424"/>
    </row>
    <row r="425" spans="2:15" x14ac:dyDescent="0.35">
      <c r="B425" t="e">
        <v>#N/A</v>
      </c>
      <c r="O425"/>
    </row>
    <row r="426" spans="2:15" x14ac:dyDescent="0.35">
      <c r="B426" t="e">
        <v>#N/A</v>
      </c>
      <c r="O426"/>
    </row>
    <row r="427" spans="2:15" x14ac:dyDescent="0.35">
      <c r="B427" t="e">
        <v>#N/A</v>
      </c>
      <c r="O427"/>
    </row>
    <row r="428" spans="2:15" x14ac:dyDescent="0.35">
      <c r="B428" t="e">
        <v>#N/A</v>
      </c>
      <c r="O428"/>
    </row>
    <row r="429" spans="2:15" x14ac:dyDescent="0.35">
      <c r="B429" t="e">
        <v>#N/A</v>
      </c>
      <c r="O429"/>
    </row>
    <row r="430" spans="2:15" x14ac:dyDescent="0.35">
      <c r="B430" t="e">
        <v>#N/A</v>
      </c>
      <c r="O430"/>
    </row>
    <row r="431" spans="2:15" x14ac:dyDescent="0.35">
      <c r="B431" t="e">
        <v>#N/A</v>
      </c>
      <c r="O431"/>
    </row>
    <row r="432" spans="2:15" x14ac:dyDescent="0.35">
      <c r="B432" t="e">
        <v>#N/A</v>
      </c>
      <c r="O432"/>
    </row>
    <row r="433" spans="2:15" x14ac:dyDescent="0.35">
      <c r="B433" t="e">
        <v>#N/A</v>
      </c>
      <c r="O433"/>
    </row>
    <row r="434" spans="2:15" x14ac:dyDescent="0.35">
      <c r="B434" t="e">
        <v>#N/A</v>
      </c>
      <c r="O434"/>
    </row>
    <row r="435" spans="2:15" x14ac:dyDescent="0.35">
      <c r="B435" t="e">
        <v>#N/A</v>
      </c>
      <c r="O435"/>
    </row>
    <row r="436" spans="2:15" x14ac:dyDescent="0.35">
      <c r="B436" t="e">
        <v>#N/A</v>
      </c>
      <c r="O436"/>
    </row>
    <row r="437" spans="2:15" x14ac:dyDescent="0.35">
      <c r="B437" t="e">
        <v>#N/A</v>
      </c>
      <c r="O437"/>
    </row>
    <row r="438" spans="2:15" x14ac:dyDescent="0.35">
      <c r="B438" t="e">
        <v>#N/A</v>
      </c>
      <c r="O438"/>
    </row>
    <row r="439" spans="2:15" x14ac:dyDescent="0.35">
      <c r="B439" t="e">
        <v>#N/A</v>
      </c>
      <c r="O439"/>
    </row>
    <row r="440" spans="2:15" x14ac:dyDescent="0.35">
      <c r="B440" t="e">
        <v>#N/A</v>
      </c>
      <c r="O440"/>
    </row>
    <row r="441" spans="2:15" x14ac:dyDescent="0.35">
      <c r="B441" t="e">
        <v>#N/A</v>
      </c>
      <c r="O441"/>
    </row>
    <row r="442" spans="2:15" x14ac:dyDescent="0.35">
      <c r="B442" t="e">
        <v>#N/A</v>
      </c>
      <c r="O442"/>
    </row>
    <row r="443" spans="2:15" x14ac:dyDescent="0.35">
      <c r="B443" t="e">
        <v>#N/A</v>
      </c>
      <c r="O443"/>
    </row>
    <row r="444" spans="2:15" x14ac:dyDescent="0.35">
      <c r="B444" t="e">
        <v>#N/A</v>
      </c>
      <c r="O444"/>
    </row>
    <row r="445" spans="2:15" x14ac:dyDescent="0.35">
      <c r="B445" t="e">
        <v>#N/A</v>
      </c>
      <c r="O445"/>
    </row>
    <row r="446" spans="2:15" x14ac:dyDescent="0.35">
      <c r="B446" t="e">
        <v>#N/A</v>
      </c>
      <c r="O446"/>
    </row>
    <row r="447" spans="2:15" x14ac:dyDescent="0.35">
      <c r="B447" t="e">
        <v>#N/A</v>
      </c>
      <c r="O447"/>
    </row>
    <row r="448" spans="2:15" x14ac:dyDescent="0.35">
      <c r="B448" t="e">
        <v>#N/A</v>
      </c>
      <c r="O448"/>
    </row>
    <row r="449" spans="2:15" x14ac:dyDescent="0.35">
      <c r="B449" t="e">
        <v>#N/A</v>
      </c>
      <c r="O449"/>
    </row>
    <row r="450" spans="2:15" x14ac:dyDescent="0.35">
      <c r="B450" t="e">
        <v>#N/A</v>
      </c>
      <c r="O450"/>
    </row>
    <row r="451" spans="2:15" x14ac:dyDescent="0.35">
      <c r="B451" t="e">
        <v>#N/A</v>
      </c>
      <c r="O451"/>
    </row>
    <row r="452" spans="2:15" x14ac:dyDescent="0.35">
      <c r="B452" t="e">
        <v>#N/A</v>
      </c>
      <c r="O452"/>
    </row>
    <row r="453" spans="2:15" x14ac:dyDescent="0.35">
      <c r="B453" t="e">
        <v>#N/A</v>
      </c>
      <c r="O453"/>
    </row>
    <row r="454" spans="2:15" x14ac:dyDescent="0.35">
      <c r="B454" t="e">
        <v>#N/A</v>
      </c>
      <c r="O454"/>
    </row>
    <row r="455" spans="2:15" x14ac:dyDescent="0.35">
      <c r="B455" t="e">
        <v>#N/A</v>
      </c>
      <c r="O455"/>
    </row>
    <row r="456" spans="2:15" x14ac:dyDescent="0.35">
      <c r="B456" t="e">
        <v>#N/A</v>
      </c>
      <c r="O456"/>
    </row>
    <row r="457" spans="2:15" x14ac:dyDescent="0.35">
      <c r="B457" t="e">
        <v>#N/A</v>
      </c>
      <c r="O457"/>
    </row>
    <row r="458" spans="2:15" x14ac:dyDescent="0.35">
      <c r="B458" t="e">
        <v>#N/A</v>
      </c>
      <c r="O458"/>
    </row>
    <row r="459" spans="2:15" x14ac:dyDescent="0.35">
      <c r="B459" t="e">
        <v>#N/A</v>
      </c>
      <c r="O459"/>
    </row>
    <row r="460" spans="2:15" x14ac:dyDescent="0.35">
      <c r="B460" t="e">
        <v>#N/A</v>
      </c>
      <c r="O460"/>
    </row>
    <row r="461" spans="2:15" x14ac:dyDescent="0.35">
      <c r="B461" t="e">
        <v>#N/A</v>
      </c>
      <c r="O461"/>
    </row>
    <row r="462" spans="2:15" x14ac:dyDescent="0.35">
      <c r="B462" t="e">
        <v>#N/A</v>
      </c>
      <c r="O462"/>
    </row>
    <row r="463" spans="2:15" x14ac:dyDescent="0.35">
      <c r="B463" t="e">
        <v>#N/A</v>
      </c>
      <c r="O463"/>
    </row>
    <row r="464" spans="2:15" x14ac:dyDescent="0.35">
      <c r="B464" t="e">
        <v>#N/A</v>
      </c>
      <c r="O464"/>
    </row>
    <row r="465" spans="2:15" x14ac:dyDescent="0.35">
      <c r="B465" t="e">
        <v>#N/A</v>
      </c>
      <c r="O465"/>
    </row>
    <row r="466" spans="2:15" x14ac:dyDescent="0.35">
      <c r="B466" t="e">
        <v>#N/A</v>
      </c>
      <c r="O466"/>
    </row>
    <row r="467" spans="2:15" x14ac:dyDescent="0.35">
      <c r="B467" t="e">
        <v>#N/A</v>
      </c>
      <c r="O467"/>
    </row>
    <row r="468" spans="2:15" x14ac:dyDescent="0.35">
      <c r="B468" t="e">
        <v>#N/A</v>
      </c>
      <c r="O468"/>
    </row>
    <row r="469" spans="2:15" x14ac:dyDescent="0.35">
      <c r="B469" t="e">
        <v>#N/A</v>
      </c>
      <c r="O469"/>
    </row>
    <row r="470" spans="2:15" x14ac:dyDescent="0.35">
      <c r="B470" t="e">
        <v>#N/A</v>
      </c>
      <c r="O470"/>
    </row>
    <row r="471" spans="2:15" x14ac:dyDescent="0.35">
      <c r="B471" t="e">
        <v>#N/A</v>
      </c>
      <c r="O471"/>
    </row>
    <row r="472" spans="2:15" x14ac:dyDescent="0.35">
      <c r="B472" t="e">
        <v>#N/A</v>
      </c>
      <c r="O472"/>
    </row>
    <row r="473" spans="2:15" x14ac:dyDescent="0.35">
      <c r="B473" t="e">
        <v>#N/A</v>
      </c>
      <c r="O473"/>
    </row>
    <row r="474" spans="2:15" x14ac:dyDescent="0.35">
      <c r="B474" t="e">
        <v>#N/A</v>
      </c>
      <c r="O474"/>
    </row>
    <row r="475" spans="2:15" x14ac:dyDescent="0.35">
      <c r="B475" t="e">
        <v>#N/A</v>
      </c>
      <c r="O475"/>
    </row>
    <row r="476" spans="2:15" x14ac:dyDescent="0.35">
      <c r="B476" t="e">
        <v>#N/A</v>
      </c>
      <c r="O476"/>
    </row>
    <row r="477" spans="2:15" x14ac:dyDescent="0.35">
      <c r="B477" t="e">
        <v>#N/A</v>
      </c>
      <c r="O477"/>
    </row>
    <row r="478" spans="2:15" x14ac:dyDescent="0.35">
      <c r="B478" t="e">
        <v>#N/A</v>
      </c>
      <c r="O478"/>
    </row>
    <row r="479" spans="2:15" x14ac:dyDescent="0.35">
      <c r="B479" t="e">
        <v>#N/A</v>
      </c>
      <c r="O479"/>
    </row>
    <row r="480" spans="2:15" x14ac:dyDescent="0.35">
      <c r="B480" t="e">
        <v>#N/A</v>
      </c>
      <c r="O480"/>
    </row>
    <row r="481" spans="2:15" x14ac:dyDescent="0.35">
      <c r="B481" t="e">
        <v>#N/A</v>
      </c>
      <c r="O481"/>
    </row>
    <row r="482" spans="2:15" x14ac:dyDescent="0.35">
      <c r="B482" t="e">
        <v>#N/A</v>
      </c>
      <c r="O482"/>
    </row>
    <row r="483" spans="2:15" x14ac:dyDescent="0.35">
      <c r="B483" t="e">
        <v>#N/A</v>
      </c>
      <c r="O483"/>
    </row>
    <row r="484" spans="2:15" x14ac:dyDescent="0.35">
      <c r="B484" t="e">
        <v>#N/A</v>
      </c>
      <c r="O484"/>
    </row>
    <row r="485" spans="2:15" x14ac:dyDescent="0.35">
      <c r="B485" t="e">
        <v>#N/A</v>
      </c>
      <c r="O485"/>
    </row>
    <row r="486" spans="2:15" x14ac:dyDescent="0.35">
      <c r="B486" t="e">
        <v>#N/A</v>
      </c>
      <c r="O486"/>
    </row>
    <row r="487" spans="2:15" x14ac:dyDescent="0.35">
      <c r="B487" t="e">
        <v>#N/A</v>
      </c>
      <c r="O487"/>
    </row>
    <row r="488" spans="2:15" x14ac:dyDescent="0.35">
      <c r="B488" t="e">
        <v>#N/A</v>
      </c>
      <c r="O488"/>
    </row>
    <row r="489" spans="2:15" x14ac:dyDescent="0.35">
      <c r="B489" t="e">
        <v>#N/A</v>
      </c>
      <c r="O489"/>
    </row>
    <row r="490" spans="2:15" x14ac:dyDescent="0.35">
      <c r="B490" t="e">
        <v>#N/A</v>
      </c>
      <c r="O490"/>
    </row>
    <row r="491" spans="2:15" x14ac:dyDescent="0.35">
      <c r="B491" t="e">
        <v>#N/A</v>
      </c>
      <c r="O491"/>
    </row>
    <row r="492" spans="2:15" x14ac:dyDescent="0.35">
      <c r="B492" t="e">
        <v>#N/A</v>
      </c>
      <c r="O492"/>
    </row>
    <row r="493" spans="2:15" x14ac:dyDescent="0.35">
      <c r="B493" t="e">
        <v>#N/A</v>
      </c>
      <c r="O493"/>
    </row>
    <row r="494" spans="2:15" x14ac:dyDescent="0.35">
      <c r="B494" t="e">
        <v>#N/A</v>
      </c>
      <c r="O494"/>
    </row>
    <row r="495" spans="2:15" x14ac:dyDescent="0.35">
      <c r="B495" t="e">
        <v>#N/A</v>
      </c>
      <c r="O495"/>
    </row>
    <row r="496" spans="2:15" x14ac:dyDescent="0.35">
      <c r="B496" t="e">
        <v>#N/A</v>
      </c>
      <c r="O496"/>
    </row>
    <row r="497" spans="2:15" x14ac:dyDescent="0.35">
      <c r="B497" t="e">
        <v>#N/A</v>
      </c>
      <c r="O497"/>
    </row>
    <row r="498" spans="2:15" x14ac:dyDescent="0.35">
      <c r="B498" t="e">
        <v>#N/A</v>
      </c>
      <c r="O498"/>
    </row>
    <row r="499" spans="2:15" x14ac:dyDescent="0.35">
      <c r="B499" t="e">
        <v>#N/A</v>
      </c>
      <c r="O499"/>
    </row>
    <row r="500" spans="2:15" x14ac:dyDescent="0.35">
      <c r="B500" t="e">
        <v>#N/A</v>
      </c>
      <c r="O500"/>
    </row>
    <row r="501" spans="2:15" x14ac:dyDescent="0.35">
      <c r="B501" t="e">
        <v>#N/A</v>
      </c>
      <c r="O501"/>
    </row>
    <row r="502" spans="2:15" x14ac:dyDescent="0.35">
      <c r="B502" t="e">
        <v>#N/A</v>
      </c>
      <c r="O502"/>
    </row>
    <row r="503" spans="2:15" x14ac:dyDescent="0.35">
      <c r="B503" t="e">
        <v>#N/A</v>
      </c>
      <c r="O503"/>
    </row>
    <row r="504" spans="2:15" x14ac:dyDescent="0.35">
      <c r="B504" t="e">
        <v>#N/A</v>
      </c>
      <c r="O504"/>
    </row>
    <row r="505" spans="2:15" x14ac:dyDescent="0.35">
      <c r="B505" t="e">
        <v>#N/A</v>
      </c>
      <c r="O505"/>
    </row>
    <row r="506" spans="2:15" x14ac:dyDescent="0.35">
      <c r="B506" t="e">
        <v>#N/A</v>
      </c>
      <c r="O506"/>
    </row>
    <row r="507" spans="2:15" x14ac:dyDescent="0.35">
      <c r="B507" t="e">
        <v>#N/A</v>
      </c>
      <c r="O507"/>
    </row>
    <row r="508" spans="2:15" x14ac:dyDescent="0.35">
      <c r="B508" t="e">
        <v>#N/A</v>
      </c>
      <c r="O508"/>
    </row>
    <row r="509" spans="2:15" x14ac:dyDescent="0.35">
      <c r="B509" t="e">
        <v>#N/A</v>
      </c>
      <c r="O509"/>
    </row>
    <row r="510" spans="2:15" x14ac:dyDescent="0.35">
      <c r="B510" t="e">
        <v>#N/A</v>
      </c>
      <c r="O510"/>
    </row>
    <row r="511" spans="2:15" x14ac:dyDescent="0.35">
      <c r="B511" t="e">
        <v>#N/A</v>
      </c>
      <c r="O511"/>
    </row>
    <row r="512" spans="2:15" x14ac:dyDescent="0.35">
      <c r="B512" t="e">
        <v>#N/A</v>
      </c>
      <c r="O512"/>
    </row>
    <row r="513" spans="2:15" x14ac:dyDescent="0.35">
      <c r="B513" t="e">
        <v>#N/A</v>
      </c>
      <c r="O513"/>
    </row>
    <row r="514" spans="2:15" x14ac:dyDescent="0.35">
      <c r="B514" t="e">
        <v>#N/A</v>
      </c>
      <c r="O514"/>
    </row>
    <row r="515" spans="2:15" x14ac:dyDescent="0.35">
      <c r="B515" t="e">
        <v>#N/A</v>
      </c>
      <c r="O515"/>
    </row>
    <row r="516" spans="2:15" x14ac:dyDescent="0.35">
      <c r="B516" t="e">
        <v>#N/A</v>
      </c>
      <c r="O516"/>
    </row>
    <row r="517" spans="2:15" x14ac:dyDescent="0.35">
      <c r="B517" t="e">
        <v>#N/A</v>
      </c>
      <c r="O517"/>
    </row>
    <row r="518" spans="2:15" x14ac:dyDescent="0.35">
      <c r="B518" t="e">
        <v>#N/A</v>
      </c>
      <c r="O518"/>
    </row>
    <row r="519" spans="2:15" x14ac:dyDescent="0.35">
      <c r="B519" t="e">
        <v>#N/A</v>
      </c>
      <c r="O519"/>
    </row>
    <row r="520" spans="2:15" x14ac:dyDescent="0.35">
      <c r="B520" t="e">
        <v>#N/A</v>
      </c>
      <c r="O520"/>
    </row>
    <row r="521" spans="2:15" x14ac:dyDescent="0.35">
      <c r="B521" t="e">
        <v>#N/A</v>
      </c>
      <c r="O521"/>
    </row>
    <row r="522" spans="2:15" x14ac:dyDescent="0.35">
      <c r="B522" t="e">
        <v>#N/A</v>
      </c>
      <c r="O522"/>
    </row>
    <row r="523" spans="2:15" x14ac:dyDescent="0.35">
      <c r="B523" t="e">
        <v>#N/A</v>
      </c>
      <c r="O523"/>
    </row>
    <row r="524" spans="2:15" x14ac:dyDescent="0.35">
      <c r="B524" t="e">
        <v>#N/A</v>
      </c>
      <c r="O524"/>
    </row>
    <row r="525" spans="2:15" x14ac:dyDescent="0.35">
      <c r="B525" t="e">
        <v>#N/A</v>
      </c>
      <c r="O525"/>
    </row>
    <row r="526" spans="2:15" x14ac:dyDescent="0.35">
      <c r="B526" t="e">
        <v>#N/A</v>
      </c>
      <c r="O526"/>
    </row>
    <row r="527" spans="2:15" x14ac:dyDescent="0.35">
      <c r="B527" t="e">
        <v>#N/A</v>
      </c>
      <c r="O527"/>
    </row>
    <row r="528" spans="2:15" x14ac:dyDescent="0.35">
      <c r="B528" t="e">
        <v>#N/A</v>
      </c>
      <c r="O528"/>
    </row>
    <row r="529" spans="2:15" x14ac:dyDescent="0.35">
      <c r="B529" t="e">
        <v>#N/A</v>
      </c>
      <c r="O529"/>
    </row>
    <row r="530" spans="2:15" x14ac:dyDescent="0.35">
      <c r="B530" t="e">
        <v>#N/A</v>
      </c>
      <c r="O530"/>
    </row>
    <row r="531" spans="2:15" x14ac:dyDescent="0.35">
      <c r="B531" t="e">
        <v>#N/A</v>
      </c>
      <c r="O531"/>
    </row>
    <row r="532" spans="2:15" x14ac:dyDescent="0.35">
      <c r="B532" t="e">
        <v>#N/A</v>
      </c>
      <c r="O532"/>
    </row>
    <row r="533" spans="2:15" x14ac:dyDescent="0.35">
      <c r="B533" t="e">
        <v>#N/A</v>
      </c>
      <c r="O533"/>
    </row>
    <row r="534" spans="2:15" x14ac:dyDescent="0.35">
      <c r="B534" t="e">
        <v>#N/A</v>
      </c>
      <c r="O534"/>
    </row>
    <row r="535" spans="2:15" x14ac:dyDescent="0.35">
      <c r="B535" t="e">
        <v>#N/A</v>
      </c>
      <c r="O535"/>
    </row>
    <row r="536" spans="2:15" x14ac:dyDescent="0.35">
      <c r="B536" t="e">
        <v>#N/A</v>
      </c>
      <c r="O536"/>
    </row>
    <row r="537" spans="2:15" x14ac:dyDescent="0.35">
      <c r="B537" t="e">
        <v>#N/A</v>
      </c>
      <c r="O537"/>
    </row>
    <row r="538" spans="2:15" x14ac:dyDescent="0.35">
      <c r="B538" t="e">
        <v>#N/A</v>
      </c>
      <c r="O538"/>
    </row>
    <row r="539" spans="2:15" x14ac:dyDescent="0.35">
      <c r="B539" t="e">
        <v>#N/A</v>
      </c>
      <c r="O539"/>
    </row>
    <row r="540" spans="2:15" x14ac:dyDescent="0.35">
      <c r="B540" t="e">
        <v>#N/A</v>
      </c>
      <c r="O540"/>
    </row>
    <row r="541" spans="2:15" x14ac:dyDescent="0.35">
      <c r="B541" t="e">
        <v>#N/A</v>
      </c>
      <c r="O541"/>
    </row>
    <row r="542" spans="2:15" x14ac:dyDescent="0.35">
      <c r="B542" t="e">
        <v>#N/A</v>
      </c>
      <c r="O542"/>
    </row>
    <row r="543" spans="2:15" x14ac:dyDescent="0.35">
      <c r="B543" t="e">
        <v>#N/A</v>
      </c>
      <c r="O543"/>
    </row>
    <row r="544" spans="2:15" x14ac:dyDescent="0.35">
      <c r="B544" t="e">
        <v>#N/A</v>
      </c>
      <c r="O544"/>
    </row>
    <row r="545" spans="2:15" x14ac:dyDescent="0.35">
      <c r="B545" t="e">
        <v>#N/A</v>
      </c>
      <c r="O545"/>
    </row>
    <row r="546" spans="2:15" x14ac:dyDescent="0.35">
      <c r="B546" t="e">
        <v>#N/A</v>
      </c>
      <c r="O546"/>
    </row>
    <row r="547" spans="2:15" x14ac:dyDescent="0.35">
      <c r="B547" t="e">
        <v>#N/A</v>
      </c>
      <c r="O547"/>
    </row>
    <row r="548" spans="2:15" x14ac:dyDescent="0.35">
      <c r="B548" t="e">
        <v>#N/A</v>
      </c>
      <c r="O548"/>
    </row>
    <row r="549" spans="2:15" x14ac:dyDescent="0.35">
      <c r="B549" t="e">
        <v>#N/A</v>
      </c>
      <c r="O549"/>
    </row>
    <row r="550" spans="2:15" x14ac:dyDescent="0.35">
      <c r="B550" t="e">
        <v>#N/A</v>
      </c>
      <c r="O550"/>
    </row>
    <row r="551" spans="2:15" x14ac:dyDescent="0.35">
      <c r="B551" t="e">
        <v>#N/A</v>
      </c>
      <c r="O551"/>
    </row>
    <row r="552" spans="2:15" x14ac:dyDescent="0.35">
      <c r="B552" t="e">
        <v>#N/A</v>
      </c>
      <c r="O552"/>
    </row>
    <row r="553" spans="2:15" x14ac:dyDescent="0.35">
      <c r="B553" t="e">
        <v>#N/A</v>
      </c>
      <c r="O553"/>
    </row>
    <row r="554" spans="2:15" x14ac:dyDescent="0.35">
      <c r="B554" t="e">
        <v>#N/A</v>
      </c>
      <c r="O554"/>
    </row>
    <row r="555" spans="2:15" x14ac:dyDescent="0.35">
      <c r="B555" t="e">
        <v>#N/A</v>
      </c>
      <c r="O555"/>
    </row>
    <row r="556" spans="2:15" x14ac:dyDescent="0.35">
      <c r="B556" t="e">
        <v>#N/A</v>
      </c>
      <c r="O556"/>
    </row>
    <row r="557" spans="2:15" x14ac:dyDescent="0.35">
      <c r="B557" t="e">
        <v>#N/A</v>
      </c>
      <c r="O557"/>
    </row>
    <row r="558" spans="2:15" x14ac:dyDescent="0.35">
      <c r="B558" t="e">
        <v>#N/A</v>
      </c>
      <c r="O558"/>
    </row>
    <row r="559" spans="2:15" x14ac:dyDescent="0.35">
      <c r="B559" t="e">
        <v>#N/A</v>
      </c>
      <c r="O559"/>
    </row>
    <row r="560" spans="2:15" x14ac:dyDescent="0.35">
      <c r="B560" t="e">
        <v>#N/A</v>
      </c>
      <c r="O560"/>
    </row>
    <row r="561" spans="2:15" x14ac:dyDescent="0.35">
      <c r="B561" t="e">
        <v>#N/A</v>
      </c>
      <c r="O561"/>
    </row>
    <row r="562" spans="2:15" x14ac:dyDescent="0.35">
      <c r="B562" t="e">
        <v>#N/A</v>
      </c>
      <c r="O562"/>
    </row>
    <row r="563" spans="2:15" x14ac:dyDescent="0.35">
      <c r="B563" t="e">
        <v>#N/A</v>
      </c>
      <c r="O563"/>
    </row>
    <row r="564" spans="2:15" x14ac:dyDescent="0.35">
      <c r="B564" t="e">
        <v>#N/A</v>
      </c>
      <c r="O564"/>
    </row>
    <row r="565" spans="2:15" x14ac:dyDescent="0.35">
      <c r="B565" t="e">
        <v>#N/A</v>
      </c>
      <c r="O565"/>
    </row>
    <row r="566" spans="2:15" x14ac:dyDescent="0.35">
      <c r="B566" t="e">
        <v>#N/A</v>
      </c>
      <c r="O566"/>
    </row>
    <row r="567" spans="2:15" x14ac:dyDescent="0.35">
      <c r="B567" t="e">
        <v>#N/A</v>
      </c>
      <c r="O567"/>
    </row>
    <row r="568" spans="2:15" x14ac:dyDescent="0.35">
      <c r="B568" t="e">
        <v>#N/A</v>
      </c>
      <c r="O568"/>
    </row>
    <row r="569" spans="2:15" x14ac:dyDescent="0.35">
      <c r="B569" t="e">
        <v>#N/A</v>
      </c>
      <c r="O569"/>
    </row>
    <row r="570" spans="2:15" x14ac:dyDescent="0.35">
      <c r="B570" t="e">
        <v>#N/A</v>
      </c>
      <c r="O570"/>
    </row>
    <row r="571" spans="2:15" x14ac:dyDescent="0.35">
      <c r="B571" t="e">
        <v>#N/A</v>
      </c>
      <c r="O571"/>
    </row>
    <row r="572" spans="2:15" x14ac:dyDescent="0.35">
      <c r="B572" t="e">
        <v>#N/A</v>
      </c>
      <c r="O572"/>
    </row>
    <row r="573" spans="2:15" x14ac:dyDescent="0.35">
      <c r="B573" t="e">
        <v>#N/A</v>
      </c>
      <c r="O573"/>
    </row>
    <row r="574" spans="2:15" x14ac:dyDescent="0.35">
      <c r="B574" t="e">
        <v>#N/A</v>
      </c>
      <c r="O574"/>
    </row>
    <row r="575" spans="2:15" x14ac:dyDescent="0.35">
      <c r="B575" t="e">
        <v>#N/A</v>
      </c>
      <c r="O575"/>
    </row>
    <row r="576" spans="2:15" x14ac:dyDescent="0.35">
      <c r="B576" t="e">
        <v>#N/A</v>
      </c>
      <c r="O576"/>
    </row>
    <row r="577" spans="2:15" x14ac:dyDescent="0.35">
      <c r="B577" t="e">
        <v>#N/A</v>
      </c>
      <c r="O577"/>
    </row>
    <row r="578" spans="2:15" x14ac:dyDescent="0.35">
      <c r="B578" t="e">
        <v>#N/A</v>
      </c>
      <c r="O578"/>
    </row>
    <row r="579" spans="2:15" x14ac:dyDescent="0.35">
      <c r="B579" t="e">
        <v>#N/A</v>
      </c>
      <c r="O579"/>
    </row>
    <row r="580" spans="2:15" x14ac:dyDescent="0.35">
      <c r="B580" t="e">
        <v>#N/A</v>
      </c>
      <c r="O580"/>
    </row>
    <row r="581" spans="2:15" x14ac:dyDescent="0.35">
      <c r="B581" t="e">
        <v>#N/A</v>
      </c>
      <c r="O581"/>
    </row>
    <row r="582" spans="2:15" x14ac:dyDescent="0.35">
      <c r="B582" t="e">
        <v>#N/A</v>
      </c>
      <c r="O582"/>
    </row>
    <row r="583" spans="2:15" x14ac:dyDescent="0.35">
      <c r="B583" t="e">
        <v>#N/A</v>
      </c>
      <c r="O583"/>
    </row>
    <row r="584" spans="2:15" x14ac:dyDescent="0.35">
      <c r="B584" t="e">
        <v>#N/A</v>
      </c>
      <c r="O584"/>
    </row>
    <row r="585" spans="2:15" x14ac:dyDescent="0.35">
      <c r="B585" t="e">
        <v>#N/A</v>
      </c>
      <c r="O585"/>
    </row>
    <row r="586" spans="2:15" x14ac:dyDescent="0.35">
      <c r="B586" t="e">
        <v>#N/A</v>
      </c>
      <c r="O586"/>
    </row>
    <row r="587" spans="2:15" x14ac:dyDescent="0.35">
      <c r="B587" t="e">
        <v>#N/A</v>
      </c>
      <c r="O587"/>
    </row>
    <row r="588" spans="2:15" x14ac:dyDescent="0.35">
      <c r="B588" t="e">
        <v>#N/A</v>
      </c>
      <c r="O588"/>
    </row>
    <row r="589" spans="2:15" x14ac:dyDescent="0.35">
      <c r="B589" t="e">
        <v>#N/A</v>
      </c>
      <c r="O589"/>
    </row>
    <row r="590" spans="2:15" x14ac:dyDescent="0.35">
      <c r="B590" t="e">
        <v>#N/A</v>
      </c>
      <c r="O590"/>
    </row>
    <row r="591" spans="2:15" x14ac:dyDescent="0.35">
      <c r="B591" t="e">
        <v>#N/A</v>
      </c>
      <c r="O591"/>
    </row>
    <row r="592" spans="2:15" x14ac:dyDescent="0.35">
      <c r="B592" t="e">
        <v>#N/A</v>
      </c>
      <c r="O592"/>
    </row>
    <row r="593" spans="2:15" x14ac:dyDescent="0.35">
      <c r="B593" t="e">
        <v>#N/A</v>
      </c>
      <c r="O593"/>
    </row>
    <row r="594" spans="2:15" x14ac:dyDescent="0.35">
      <c r="B594" t="e">
        <v>#N/A</v>
      </c>
      <c r="O594"/>
    </row>
    <row r="595" spans="2:15" x14ac:dyDescent="0.35">
      <c r="B595" t="e">
        <v>#N/A</v>
      </c>
      <c r="O595"/>
    </row>
    <row r="596" spans="2:15" x14ac:dyDescent="0.35">
      <c r="B596" t="e">
        <v>#N/A</v>
      </c>
      <c r="O596"/>
    </row>
    <row r="597" spans="2:15" x14ac:dyDescent="0.35">
      <c r="B597" t="e">
        <v>#N/A</v>
      </c>
      <c r="O597"/>
    </row>
    <row r="598" spans="2:15" x14ac:dyDescent="0.35">
      <c r="B598" t="e">
        <v>#N/A</v>
      </c>
      <c r="O598"/>
    </row>
    <row r="599" spans="2:15" x14ac:dyDescent="0.35">
      <c r="B599" t="e">
        <v>#N/A</v>
      </c>
      <c r="O599"/>
    </row>
    <row r="600" spans="2:15" x14ac:dyDescent="0.35">
      <c r="B600" t="e">
        <v>#N/A</v>
      </c>
      <c r="O600"/>
    </row>
    <row r="601" spans="2:15" x14ac:dyDescent="0.35">
      <c r="B601" t="e">
        <v>#N/A</v>
      </c>
      <c r="O601"/>
    </row>
    <row r="602" spans="2:15" x14ac:dyDescent="0.35">
      <c r="B602" t="e">
        <v>#N/A</v>
      </c>
      <c r="O602"/>
    </row>
    <row r="603" spans="2:15" x14ac:dyDescent="0.35">
      <c r="B603" t="e">
        <v>#N/A</v>
      </c>
      <c r="O603"/>
    </row>
    <row r="604" spans="2:15" x14ac:dyDescent="0.35">
      <c r="B604" t="e">
        <v>#N/A</v>
      </c>
      <c r="O604"/>
    </row>
    <row r="605" spans="2:15" x14ac:dyDescent="0.35">
      <c r="B605" t="e">
        <v>#N/A</v>
      </c>
      <c r="O605"/>
    </row>
    <row r="606" spans="2:15" x14ac:dyDescent="0.35">
      <c r="B606" t="e">
        <v>#N/A</v>
      </c>
      <c r="O606"/>
    </row>
    <row r="607" spans="2:15" x14ac:dyDescent="0.35">
      <c r="B607" t="e">
        <v>#N/A</v>
      </c>
      <c r="O607"/>
    </row>
    <row r="608" spans="2:15" x14ac:dyDescent="0.35">
      <c r="B608" t="e">
        <v>#N/A</v>
      </c>
      <c r="O608"/>
    </row>
    <row r="609" spans="2:15" x14ac:dyDescent="0.35">
      <c r="B609" t="e">
        <v>#N/A</v>
      </c>
      <c r="O609"/>
    </row>
    <row r="610" spans="2:15" x14ac:dyDescent="0.35">
      <c r="B610" t="e">
        <v>#N/A</v>
      </c>
      <c r="O610"/>
    </row>
    <row r="611" spans="2:15" x14ac:dyDescent="0.35">
      <c r="B611" t="e">
        <v>#N/A</v>
      </c>
      <c r="O611"/>
    </row>
    <row r="612" spans="2:15" x14ac:dyDescent="0.35">
      <c r="B612" t="e">
        <v>#N/A</v>
      </c>
      <c r="O612"/>
    </row>
    <row r="613" spans="2:15" x14ac:dyDescent="0.35">
      <c r="B613" t="e">
        <v>#N/A</v>
      </c>
      <c r="O613"/>
    </row>
    <row r="614" spans="2:15" x14ac:dyDescent="0.35">
      <c r="B614" t="e">
        <v>#N/A</v>
      </c>
      <c r="O614"/>
    </row>
    <row r="615" spans="2:15" x14ac:dyDescent="0.35">
      <c r="B615" t="e">
        <v>#N/A</v>
      </c>
      <c r="O615"/>
    </row>
    <row r="616" spans="2:15" x14ac:dyDescent="0.35">
      <c r="B616" t="e">
        <v>#N/A</v>
      </c>
      <c r="O616"/>
    </row>
    <row r="617" spans="2:15" x14ac:dyDescent="0.35">
      <c r="B617" t="e">
        <v>#N/A</v>
      </c>
      <c r="O617"/>
    </row>
    <row r="618" spans="2:15" x14ac:dyDescent="0.35">
      <c r="B618" t="e">
        <v>#N/A</v>
      </c>
      <c r="O618"/>
    </row>
    <row r="619" spans="2:15" x14ac:dyDescent="0.35">
      <c r="B619" t="e">
        <v>#N/A</v>
      </c>
      <c r="O619"/>
    </row>
    <row r="620" spans="2:15" x14ac:dyDescent="0.35">
      <c r="B620" t="e">
        <v>#N/A</v>
      </c>
      <c r="O620"/>
    </row>
    <row r="621" spans="2:15" x14ac:dyDescent="0.35">
      <c r="B621" t="e">
        <v>#N/A</v>
      </c>
      <c r="O621"/>
    </row>
    <row r="622" spans="2:15" x14ac:dyDescent="0.35">
      <c r="B622" t="e">
        <v>#N/A</v>
      </c>
      <c r="O622"/>
    </row>
    <row r="623" spans="2:15" x14ac:dyDescent="0.35">
      <c r="B623" t="e">
        <v>#N/A</v>
      </c>
      <c r="O623"/>
    </row>
    <row r="624" spans="2:15" x14ac:dyDescent="0.35">
      <c r="B624" t="e">
        <v>#N/A</v>
      </c>
      <c r="O624"/>
    </row>
    <row r="625" spans="2:15" x14ac:dyDescent="0.35">
      <c r="B625" t="e">
        <v>#N/A</v>
      </c>
      <c r="O625"/>
    </row>
    <row r="626" spans="2:15" x14ac:dyDescent="0.35">
      <c r="B626" t="e">
        <v>#N/A</v>
      </c>
      <c r="O626"/>
    </row>
    <row r="627" spans="2:15" x14ac:dyDescent="0.35">
      <c r="B627" t="e">
        <v>#N/A</v>
      </c>
      <c r="O627"/>
    </row>
    <row r="628" spans="2:15" x14ac:dyDescent="0.35">
      <c r="B628" t="e">
        <v>#N/A</v>
      </c>
      <c r="O628"/>
    </row>
    <row r="629" spans="2:15" x14ac:dyDescent="0.35">
      <c r="B629" t="e">
        <v>#N/A</v>
      </c>
      <c r="O629"/>
    </row>
    <row r="630" spans="2:15" x14ac:dyDescent="0.35">
      <c r="B630" t="e">
        <v>#N/A</v>
      </c>
      <c r="O630"/>
    </row>
    <row r="631" spans="2:15" x14ac:dyDescent="0.35">
      <c r="B631" t="e">
        <v>#N/A</v>
      </c>
      <c r="O631"/>
    </row>
    <row r="632" spans="2:15" x14ac:dyDescent="0.35">
      <c r="B632" t="e">
        <v>#N/A</v>
      </c>
      <c r="O632"/>
    </row>
    <row r="633" spans="2:15" x14ac:dyDescent="0.35">
      <c r="B633" t="e">
        <v>#N/A</v>
      </c>
      <c r="O633"/>
    </row>
    <row r="634" spans="2:15" x14ac:dyDescent="0.35">
      <c r="B634" t="e">
        <v>#N/A</v>
      </c>
      <c r="O634"/>
    </row>
    <row r="635" spans="2:15" x14ac:dyDescent="0.35">
      <c r="B635" t="e">
        <v>#N/A</v>
      </c>
      <c r="O635"/>
    </row>
    <row r="636" spans="2:15" x14ac:dyDescent="0.35">
      <c r="B636" t="e">
        <v>#N/A</v>
      </c>
      <c r="O636"/>
    </row>
    <row r="637" spans="2:15" x14ac:dyDescent="0.35">
      <c r="B637" t="e">
        <v>#N/A</v>
      </c>
      <c r="O637"/>
    </row>
    <row r="638" spans="2:15" x14ac:dyDescent="0.35">
      <c r="B638" t="e">
        <v>#N/A</v>
      </c>
      <c r="O638"/>
    </row>
    <row r="639" spans="2:15" x14ac:dyDescent="0.35">
      <c r="B639" t="e">
        <v>#N/A</v>
      </c>
      <c r="O639"/>
    </row>
    <row r="640" spans="2:15" x14ac:dyDescent="0.35">
      <c r="B640" t="e">
        <v>#N/A</v>
      </c>
      <c r="O640"/>
    </row>
    <row r="641" spans="2:15" x14ac:dyDescent="0.35">
      <c r="B641" t="e">
        <v>#N/A</v>
      </c>
      <c r="O641"/>
    </row>
    <row r="642" spans="2:15" x14ac:dyDescent="0.35">
      <c r="B642" t="e">
        <v>#N/A</v>
      </c>
      <c r="O642"/>
    </row>
    <row r="643" spans="2:15" x14ac:dyDescent="0.35">
      <c r="B643" t="e">
        <v>#N/A</v>
      </c>
      <c r="O643"/>
    </row>
    <row r="644" spans="2:15" x14ac:dyDescent="0.35">
      <c r="B644" t="e">
        <v>#N/A</v>
      </c>
      <c r="O644"/>
    </row>
    <row r="645" spans="2:15" x14ac:dyDescent="0.35">
      <c r="B645" t="e">
        <v>#N/A</v>
      </c>
      <c r="O645"/>
    </row>
    <row r="646" spans="2:15" x14ac:dyDescent="0.35">
      <c r="B646" t="e">
        <v>#N/A</v>
      </c>
      <c r="O646"/>
    </row>
    <row r="647" spans="2:15" x14ac:dyDescent="0.35">
      <c r="B647" t="e">
        <v>#N/A</v>
      </c>
      <c r="O647"/>
    </row>
    <row r="648" spans="2:15" x14ac:dyDescent="0.35">
      <c r="B648" t="e">
        <v>#N/A</v>
      </c>
      <c r="O648"/>
    </row>
    <row r="649" spans="2:15" x14ac:dyDescent="0.35">
      <c r="B649" t="e">
        <v>#N/A</v>
      </c>
      <c r="O649"/>
    </row>
    <row r="650" spans="2:15" x14ac:dyDescent="0.35">
      <c r="B650" t="e">
        <v>#N/A</v>
      </c>
      <c r="O650"/>
    </row>
    <row r="651" spans="2:15" x14ac:dyDescent="0.35">
      <c r="B651" t="e">
        <v>#N/A</v>
      </c>
      <c r="O651"/>
    </row>
    <row r="652" spans="2:15" x14ac:dyDescent="0.35">
      <c r="B652" t="e">
        <v>#N/A</v>
      </c>
      <c r="O652"/>
    </row>
    <row r="653" spans="2:15" x14ac:dyDescent="0.35">
      <c r="B653" t="e">
        <v>#N/A</v>
      </c>
      <c r="O653"/>
    </row>
    <row r="654" spans="2:15" x14ac:dyDescent="0.35">
      <c r="B654" t="e">
        <v>#N/A</v>
      </c>
      <c r="O654"/>
    </row>
    <row r="655" spans="2:15" x14ac:dyDescent="0.35">
      <c r="B655" t="e">
        <v>#N/A</v>
      </c>
      <c r="O655"/>
    </row>
    <row r="656" spans="2:15" x14ac:dyDescent="0.35">
      <c r="B656" t="e">
        <v>#N/A</v>
      </c>
      <c r="O656"/>
    </row>
    <row r="657" spans="2:15" x14ac:dyDescent="0.35">
      <c r="B657" t="e">
        <v>#N/A</v>
      </c>
      <c r="O657"/>
    </row>
    <row r="658" spans="2:15" x14ac:dyDescent="0.35">
      <c r="B658" t="e">
        <v>#N/A</v>
      </c>
      <c r="O658"/>
    </row>
    <row r="659" spans="2:15" x14ac:dyDescent="0.35">
      <c r="B659" t="e">
        <v>#N/A</v>
      </c>
      <c r="O659"/>
    </row>
    <row r="660" spans="2:15" x14ac:dyDescent="0.35">
      <c r="B660" t="e">
        <v>#N/A</v>
      </c>
      <c r="O660"/>
    </row>
    <row r="661" spans="2:15" x14ac:dyDescent="0.35">
      <c r="B661" t="e">
        <v>#N/A</v>
      </c>
      <c r="O661"/>
    </row>
    <row r="662" spans="2:15" x14ac:dyDescent="0.35">
      <c r="B662" t="e">
        <v>#N/A</v>
      </c>
      <c r="O662"/>
    </row>
    <row r="663" spans="2:15" x14ac:dyDescent="0.35">
      <c r="B663" t="e">
        <v>#N/A</v>
      </c>
      <c r="O663"/>
    </row>
    <row r="664" spans="2:15" x14ac:dyDescent="0.35">
      <c r="B664" t="e">
        <v>#N/A</v>
      </c>
      <c r="O664"/>
    </row>
    <row r="665" spans="2:15" x14ac:dyDescent="0.35">
      <c r="B665" t="e">
        <v>#N/A</v>
      </c>
      <c r="O665"/>
    </row>
    <row r="666" spans="2:15" x14ac:dyDescent="0.35">
      <c r="B666" t="e">
        <v>#N/A</v>
      </c>
      <c r="O666"/>
    </row>
    <row r="667" spans="2:15" x14ac:dyDescent="0.35">
      <c r="B667" t="e">
        <v>#N/A</v>
      </c>
      <c r="O667"/>
    </row>
    <row r="668" spans="2:15" x14ac:dyDescent="0.35">
      <c r="B668" t="e">
        <v>#N/A</v>
      </c>
      <c r="O668"/>
    </row>
    <row r="669" spans="2:15" x14ac:dyDescent="0.35">
      <c r="B669" t="e">
        <v>#N/A</v>
      </c>
      <c r="O669"/>
    </row>
    <row r="670" spans="2:15" x14ac:dyDescent="0.35">
      <c r="B670" t="e">
        <v>#N/A</v>
      </c>
      <c r="O670"/>
    </row>
    <row r="671" spans="2:15" x14ac:dyDescent="0.35">
      <c r="B671" t="e">
        <v>#N/A</v>
      </c>
      <c r="O671"/>
    </row>
    <row r="672" spans="2:15" x14ac:dyDescent="0.35">
      <c r="B672" t="e">
        <v>#N/A</v>
      </c>
      <c r="O672"/>
    </row>
    <row r="673" spans="2:15" x14ac:dyDescent="0.35">
      <c r="B673" t="e">
        <v>#N/A</v>
      </c>
      <c r="O673"/>
    </row>
    <row r="674" spans="2:15" x14ac:dyDescent="0.35">
      <c r="B674" t="e">
        <v>#N/A</v>
      </c>
      <c r="O674"/>
    </row>
    <row r="675" spans="2:15" x14ac:dyDescent="0.35">
      <c r="B675" t="e">
        <v>#N/A</v>
      </c>
      <c r="O675"/>
    </row>
    <row r="676" spans="2:15" x14ac:dyDescent="0.35">
      <c r="B676" t="e">
        <v>#N/A</v>
      </c>
      <c r="O676"/>
    </row>
    <row r="677" spans="2:15" x14ac:dyDescent="0.35">
      <c r="B677" t="e">
        <v>#N/A</v>
      </c>
      <c r="O677"/>
    </row>
    <row r="678" spans="2:15" x14ac:dyDescent="0.35">
      <c r="B678" t="e">
        <v>#N/A</v>
      </c>
      <c r="O678"/>
    </row>
    <row r="679" spans="2:15" x14ac:dyDescent="0.35">
      <c r="B679" t="e">
        <v>#N/A</v>
      </c>
      <c r="O679"/>
    </row>
    <row r="680" spans="2:15" x14ac:dyDescent="0.35">
      <c r="B680" t="e">
        <v>#N/A</v>
      </c>
      <c r="O680"/>
    </row>
    <row r="681" spans="2:15" x14ac:dyDescent="0.35">
      <c r="B681" t="e">
        <v>#N/A</v>
      </c>
      <c r="O681"/>
    </row>
    <row r="682" spans="2:15" x14ac:dyDescent="0.35">
      <c r="B682" t="e">
        <v>#N/A</v>
      </c>
      <c r="O682"/>
    </row>
    <row r="683" spans="2:15" x14ac:dyDescent="0.35">
      <c r="B683" t="e">
        <v>#N/A</v>
      </c>
      <c r="O683"/>
    </row>
    <row r="684" spans="2:15" x14ac:dyDescent="0.35">
      <c r="B684" t="e">
        <v>#N/A</v>
      </c>
      <c r="O684"/>
    </row>
    <row r="685" spans="2:15" x14ac:dyDescent="0.35">
      <c r="B685" t="e">
        <v>#N/A</v>
      </c>
      <c r="O685"/>
    </row>
    <row r="686" spans="2:15" x14ac:dyDescent="0.35">
      <c r="B686" t="e">
        <v>#N/A</v>
      </c>
      <c r="O686"/>
    </row>
    <row r="687" spans="2:15" x14ac:dyDescent="0.35">
      <c r="B687" t="e">
        <v>#N/A</v>
      </c>
      <c r="O687"/>
    </row>
    <row r="688" spans="2:15" x14ac:dyDescent="0.35">
      <c r="B688" t="e">
        <v>#N/A</v>
      </c>
      <c r="O688"/>
    </row>
    <row r="689" spans="2:15" x14ac:dyDescent="0.35">
      <c r="B689" t="e">
        <v>#N/A</v>
      </c>
      <c r="O689"/>
    </row>
    <row r="690" spans="2:15" x14ac:dyDescent="0.35">
      <c r="B690" t="e">
        <v>#N/A</v>
      </c>
      <c r="O690"/>
    </row>
    <row r="691" spans="2:15" x14ac:dyDescent="0.35">
      <c r="B691" t="e">
        <v>#N/A</v>
      </c>
      <c r="O691"/>
    </row>
    <row r="692" spans="2:15" x14ac:dyDescent="0.35">
      <c r="B692" t="e">
        <v>#N/A</v>
      </c>
      <c r="O692"/>
    </row>
    <row r="693" spans="2:15" x14ac:dyDescent="0.35">
      <c r="B693" t="e">
        <v>#N/A</v>
      </c>
      <c r="O693"/>
    </row>
    <row r="694" spans="2:15" x14ac:dyDescent="0.35">
      <c r="B694" t="e">
        <v>#N/A</v>
      </c>
      <c r="O694"/>
    </row>
    <row r="695" spans="2:15" x14ac:dyDescent="0.35">
      <c r="B695" t="e">
        <v>#N/A</v>
      </c>
      <c r="O695"/>
    </row>
    <row r="696" spans="2:15" x14ac:dyDescent="0.35">
      <c r="B696" t="e">
        <v>#N/A</v>
      </c>
      <c r="O696"/>
    </row>
    <row r="697" spans="2:15" x14ac:dyDescent="0.35">
      <c r="B697" t="e">
        <v>#N/A</v>
      </c>
      <c r="O697"/>
    </row>
    <row r="698" spans="2:15" x14ac:dyDescent="0.35">
      <c r="B698" t="e">
        <v>#N/A</v>
      </c>
      <c r="O698"/>
    </row>
    <row r="699" spans="2:15" x14ac:dyDescent="0.35">
      <c r="B699" t="e">
        <v>#N/A</v>
      </c>
      <c r="O699"/>
    </row>
    <row r="700" spans="2:15" x14ac:dyDescent="0.35">
      <c r="B700" t="e">
        <v>#N/A</v>
      </c>
      <c r="O700"/>
    </row>
    <row r="701" spans="2:15" x14ac:dyDescent="0.35">
      <c r="B701" t="e">
        <v>#N/A</v>
      </c>
      <c r="O701"/>
    </row>
    <row r="702" spans="2:15" x14ac:dyDescent="0.35">
      <c r="B702" t="e">
        <v>#N/A</v>
      </c>
      <c r="O702"/>
    </row>
    <row r="703" spans="2:15" x14ac:dyDescent="0.35">
      <c r="B703" t="e">
        <v>#N/A</v>
      </c>
      <c r="O703"/>
    </row>
    <row r="704" spans="2:15" x14ac:dyDescent="0.35">
      <c r="B704" t="e">
        <v>#N/A</v>
      </c>
      <c r="O704"/>
    </row>
    <row r="705" spans="2:15" x14ac:dyDescent="0.35">
      <c r="B705" t="e">
        <v>#N/A</v>
      </c>
      <c r="O705"/>
    </row>
    <row r="706" spans="2:15" x14ac:dyDescent="0.35">
      <c r="B706" t="e">
        <v>#N/A</v>
      </c>
      <c r="O706"/>
    </row>
    <row r="707" spans="2:15" x14ac:dyDescent="0.35">
      <c r="B707" t="e">
        <v>#N/A</v>
      </c>
      <c r="O707"/>
    </row>
    <row r="708" spans="2:15" x14ac:dyDescent="0.35">
      <c r="B708" t="e">
        <v>#N/A</v>
      </c>
      <c r="O708"/>
    </row>
    <row r="709" spans="2:15" x14ac:dyDescent="0.35">
      <c r="B709" t="e">
        <v>#N/A</v>
      </c>
      <c r="O709"/>
    </row>
    <row r="710" spans="2:15" x14ac:dyDescent="0.35">
      <c r="B710" t="e">
        <v>#N/A</v>
      </c>
      <c r="O710"/>
    </row>
    <row r="711" spans="2:15" x14ac:dyDescent="0.35">
      <c r="B711" t="e">
        <v>#N/A</v>
      </c>
      <c r="O711"/>
    </row>
    <row r="712" spans="2:15" x14ac:dyDescent="0.35">
      <c r="B712" t="e">
        <v>#N/A</v>
      </c>
      <c r="O712"/>
    </row>
    <row r="713" spans="2:15" x14ac:dyDescent="0.35">
      <c r="B713" t="e">
        <v>#N/A</v>
      </c>
      <c r="O713"/>
    </row>
    <row r="714" spans="2:15" x14ac:dyDescent="0.35">
      <c r="B714" t="e">
        <v>#N/A</v>
      </c>
      <c r="O714"/>
    </row>
    <row r="715" spans="2:15" x14ac:dyDescent="0.35">
      <c r="B715" t="e">
        <v>#N/A</v>
      </c>
      <c r="O715"/>
    </row>
    <row r="716" spans="2:15" x14ac:dyDescent="0.35">
      <c r="B716" t="e">
        <v>#N/A</v>
      </c>
      <c r="O716"/>
    </row>
    <row r="717" spans="2:15" x14ac:dyDescent="0.35">
      <c r="B717" t="e">
        <v>#N/A</v>
      </c>
      <c r="O717"/>
    </row>
    <row r="718" spans="2:15" x14ac:dyDescent="0.35">
      <c r="B718" t="e">
        <v>#N/A</v>
      </c>
      <c r="O718"/>
    </row>
    <row r="719" spans="2:15" x14ac:dyDescent="0.35">
      <c r="B719" t="e">
        <v>#N/A</v>
      </c>
      <c r="O719"/>
    </row>
    <row r="720" spans="2:15" x14ac:dyDescent="0.35">
      <c r="B720" t="e">
        <v>#N/A</v>
      </c>
      <c r="O720"/>
    </row>
    <row r="721" spans="2:15" x14ac:dyDescent="0.35">
      <c r="B721" t="e">
        <v>#N/A</v>
      </c>
      <c r="O721"/>
    </row>
    <row r="722" spans="2:15" x14ac:dyDescent="0.35">
      <c r="B722" t="e">
        <v>#N/A</v>
      </c>
      <c r="O722"/>
    </row>
    <row r="723" spans="2:15" x14ac:dyDescent="0.35">
      <c r="B723" t="e">
        <v>#N/A</v>
      </c>
      <c r="O723"/>
    </row>
    <row r="724" spans="2:15" x14ac:dyDescent="0.35">
      <c r="B724" t="e">
        <v>#N/A</v>
      </c>
      <c r="O724"/>
    </row>
    <row r="725" spans="2:15" x14ac:dyDescent="0.35">
      <c r="B725" t="e">
        <v>#N/A</v>
      </c>
      <c r="O725"/>
    </row>
    <row r="726" spans="2:15" x14ac:dyDescent="0.35">
      <c r="B726" t="e">
        <v>#N/A</v>
      </c>
      <c r="O726"/>
    </row>
    <row r="727" spans="2:15" x14ac:dyDescent="0.35">
      <c r="B727" t="e">
        <v>#N/A</v>
      </c>
      <c r="O727"/>
    </row>
    <row r="728" spans="2:15" x14ac:dyDescent="0.35">
      <c r="B728" t="e">
        <v>#N/A</v>
      </c>
      <c r="O728"/>
    </row>
    <row r="729" spans="2:15" x14ac:dyDescent="0.35">
      <c r="B729" t="e">
        <v>#N/A</v>
      </c>
      <c r="O729"/>
    </row>
    <row r="730" spans="2:15" x14ac:dyDescent="0.35">
      <c r="B730" t="e">
        <v>#N/A</v>
      </c>
      <c r="O730"/>
    </row>
    <row r="731" spans="2:15" x14ac:dyDescent="0.35">
      <c r="B731" t="e">
        <v>#N/A</v>
      </c>
      <c r="O731"/>
    </row>
    <row r="732" spans="2:15" x14ac:dyDescent="0.35">
      <c r="B732" t="e">
        <v>#N/A</v>
      </c>
      <c r="O732"/>
    </row>
    <row r="733" spans="2:15" x14ac:dyDescent="0.35">
      <c r="B733" t="e">
        <v>#N/A</v>
      </c>
      <c r="O733"/>
    </row>
    <row r="734" spans="2:15" x14ac:dyDescent="0.35">
      <c r="B734" t="e">
        <v>#N/A</v>
      </c>
      <c r="O734"/>
    </row>
    <row r="735" spans="2:15" x14ac:dyDescent="0.35">
      <c r="B735" t="e">
        <v>#N/A</v>
      </c>
      <c r="O735"/>
    </row>
    <row r="736" spans="2:15" x14ac:dyDescent="0.35">
      <c r="B736" t="e">
        <v>#N/A</v>
      </c>
      <c r="O736"/>
    </row>
    <row r="737" spans="2:15" x14ac:dyDescent="0.35">
      <c r="B737" t="e">
        <v>#N/A</v>
      </c>
      <c r="O737"/>
    </row>
    <row r="738" spans="2:15" x14ac:dyDescent="0.35">
      <c r="B738" t="e">
        <v>#N/A</v>
      </c>
      <c r="O738"/>
    </row>
    <row r="739" spans="2:15" x14ac:dyDescent="0.35">
      <c r="B739" t="e">
        <v>#N/A</v>
      </c>
      <c r="O739"/>
    </row>
    <row r="740" spans="2:15" x14ac:dyDescent="0.35">
      <c r="B740" t="e">
        <v>#N/A</v>
      </c>
      <c r="O740"/>
    </row>
    <row r="741" spans="2:15" x14ac:dyDescent="0.35">
      <c r="B741" t="e">
        <v>#N/A</v>
      </c>
      <c r="O741"/>
    </row>
    <row r="742" spans="2:15" x14ac:dyDescent="0.35">
      <c r="B742" t="e">
        <v>#N/A</v>
      </c>
      <c r="O742"/>
    </row>
    <row r="743" spans="2:15" x14ac:dyDescent="0.35">
      <c r="B743" t="e">
        <v>#N/A</v>
      </c>
      <c r="O743"/>
    </row>
    <row r="744" spans="2:15" x14ac:dyDescent="0.35">
      <c r="B744" t="e">
        <v>#N/A</v>
      </c>
      <c r="O744"/>
    </row>
    <row r="745" spans="2:15" x14ac:dyDescent="0.35">
      <c r="B745" t="e">
        <v>#N/A</v>
      </c>
      <c r="O745"/>
    </row>
    <row r="746" spans="2:15" x14ac:dyDescent="0.35">
      <c r="B746" t="e">
        <v>#N/A</v>
      </c>
      <c r="O746"/>
    </row>
    <row r="747" spans="2:15" x14ac:dyDescent="0.35">
      <c r="B747" t="e">
        <v>#N/A</v>
      </c>
      <c r="O747"/>
    </row>
    <row r="748" spans="2:15" x14ac:dyDescent="0.35">
      <c r="B748" t="e">
        <v>#N/A</v>
      </c>
      <c r="O748"/>
    </row>
    <row r="749" spans="2:15" x14ac:dyDescent="0.35">
      <c r="B749" t="e">
        <v>#N/A</v>
      </c>
      <c r="O749"/>
    </row>
    <row r="750" spans="2:15" x14ac:dyDescent="0.35">
      <c r="B750" t="e">
        <v>#N/A</v>
      </c>
      <c r="O750"/>
    </row>
    <row r="751" spans="2:15" x14ac:dyDescent="0.35">
      <c r="B751" t="e">
        <v>#N/A</v>
      </c>
      <c r="O751"/>
    </row>
    <row r="752" spans="2:15" x14ac:dyDescent="0.35">
      <c r="B752" t="e">
        <v>#N/A</v>
      </c>
      <c r="O752"/>
    </row>
    <row r="753" spans="2:15" x14ac:dyDescent="0.35">
      <c r="B753" t="e">
        <v>#N/A</v>
      </c>
      <c r="O753"/>
    </row>
    <row r="754" spans="2:15" x14ac:dyDescent="0.35">
      <c r="B754" t="e">
        <v>#N/A</v>
      </c>
      <c r="O754"/>
    </row>
    <row r="755" spans="2:15" x14ac:dyDescent="0.35">
      <c r="B755" t="e">
        <v>#N/A</v>
      </c>
      <c r="O755"/>
    </row>
    <row r="756" spans="2:15" x14ac:dyDescent="0.35">
      <c r="B756" t="e">
        <v>#N/A</v>
      </c>
      <c r="O756"/>
    </row>
    <row r="757" spans="2:15" x14ac:dyDescent="0.35">
      <c r="B757" t="e">
        <v>#N/A</v>
      </c>
      <c r="O757"/>
    </row>
    <row r="758" spans="2:15" x14ac:dyDescent="0.35">
      <c r="B758" t="e">
        <v>#N/A</v>
      </c>
      <c r="O758"/>
    </row>
    <row r="759" spans="2:15" x14ac:dyDescent="0.35">
      <c r="B759" t="e">
        <v>#N/A</v>
      </c>
      <c r="O759"/>
    </row>
    <row r="760" spans="2:15" x14ac:dyDescent="0.35">
      <c r="B760" t="e">
        <v>#N/A</v>
      </c>
      <c r="O760"/>
    </row>
    <row r="761" spans="2:15" x14ac:dyDescent="0.35">
      <c r="B761" t="e">
        <v>#N/A</v>
      </c>
      <c r="O761"/>
    </row>
    <row r="762" spans="2:15" x14ac:dyDescent="0.35">
      <c r="B762" t="e">
        <v>#N/A</v>
      </c>
      <c r="O762"/>
    </row>
    <row r="763" spans="2:15" x14ac:dyDescent="0.35">
      <c r="B763" t="e">
        <v>#N/A</v>
      </c>
      <c r="O763"/>
    </row>
    <row r="764" spans="2:15" x14ac:dyDescent="0.35">
      <c r="B764" t="e">
        <v>#N/A</v>
      </c>
      <c r="O764"/>
    </row>
    <row r="765" spans="2:15" x14ac:dyDescent="0.35">
      <c r="B765" t="e">
        <v>#N/A</v>
      </c>
      <c r="O765"/>
    </row>
    <row r="766" spans="2:15" x14ac:dyDescent="0.35">
      <c r="B766" t="e">
        <v>#N/A</v>
      </c>
      <c r="O766"/>
    </row>
    <row r="767" spans="2:15" x14ac:dyDescent="0.35">
      <c r="B767" t="e">
        <v>#N/A</v>
      </c>
      <c r="O767"/>
    </row>
    <row r="768" spans="2:15" x14ac:dyDescent="0.35">
      <c r="B768" t="e">
        <v>#N/A</v>
      </c>
      <c r="O768"/>
    </row>
    <row r="769" spans="2:15" x14ac:dyDescent="0.35">
      <c r="B769" t="e">
        <v>#N/A</v>
      </c>
      <c r="O769"/>
    </row>
    <row r="770" spans="2:15" x14ac:dyDescent="0.35">
      <c r="B770" t="e">
        <v>#N/A</v>
      </c>
      <c r="O770"/>
    </row>
    <row r="771" spans="2:15" x14ac:dyDescent="0.35">
      <c r="B771" t="e">
        <v>#N/A</v>
      </c>
      <c r="O771"/>
    </row>
    <row r="772" spans="2:15" x14ac:dyDescent="0.35">
      <c r="B772" t="e">
        <v>#N/A</v>
      </c>
      <c r="O772"/>
    </row>
    <row r="773" spans="2:15" x14ac:dyDescent="0.35">
      <c r="B773" t="e">
        <v>#N/A</v>
      </c>
      <c r="O773"/>
    </row>
    <row r="774" spans="2:15" x14ac:dyDescent="0.35">
      <c r="B774" t="e">
        <v>#N/A</v>
      </c>
      <c r="O774"/>
    </row>
    <row r="775" spans="2:15" x14ac:dyDescent="0.35">
      <c r="B775" t="e">
        <v>#N/A</v>
      </c>
      <c r="O775"/>
    </row>
    <row r="776" spans="2:15" x14ac:dyDescent="0.35">
      <c r="B776" t="e">
        <v>#N/A</v>
      </c>
      <c r="O776"/>
    </row>
    <row r="777" spans="2:15" x14ac:dyDescent="0.35">
      <c r="B777" t="e">
        <v>#N/A</v>
      </c>
      <c r="O777"/>
    </row>
    <row r="778" spans="2:15" x14ac:dyDescent="0.35">
      <c r="B778" t="e">
        <v>#N/A</v>
      </c>
      <c r="O778"/>
    </row>
    <row r="779" spans="2:15" x14ac:dyDescent="0.35">
      <c r="B779" t="e">
        <v>#N/A</v>
      </c>
      <c r="O779"/>
    </row>
    <row r="780" spans="2:15" x14ac:dyDescent="0.35">
      <c r="B780" t="e">
        <v>#N/A</v>
      </c>
      <c r="O780"/>
    </row>
    <row r="781" spans="2:15" x14ac:dyDescent="0.35">
      <c r="B781" t="e">
        <v>#N/A</v>
      </c>
      <c r="O781"/>
    </row>
    <row r="782" spans="2:15" x14ac:dyDescent="0.35">
      <c r="B782" t="e">
        <v>#N/A</v>
      </c>
      <c r="O782"/>
    </row>
    <row r="783" spans="2:15" x14ac:dyDescent="0.35">
      <c r="B783" t="e">
        <v>#N/A</v>
      </c>
      <c r="O783"/>
    </row>
    <row r="784" spans="2:15" x14ac:dyDescent="0.35">
      <c r="B784" t="e">
        <v>#N/A</v>
      </c>
      <c r="O784"/>
    </row>
    <row r="785" spans="2:15" x14ac:dyDescent="0.35">
      <c r="B785" t="e">
        <v>#N/A</v>
      </c>
      <c r="O785"/>
    </row>
    <row r="786" spans="2:15" x14ac:dyDescent="0.35">
      <c r="B786" t="e">
        <v>#N/A</v>
      </c>
      <c r="O786"/>
    </row>
    <row r="787" spans="2:15" x14ac:dyDescent="0.35">
      <c r="B787" t="e">
        <v>#N/A</v>
      </c>
      <c r="O787"/>
    </row>
    <row r="788" spans="2:15" x14ac:dyDescent="0.35">
      <c r="B788" t="e">
        <v>#N/A</v>
      </c>
      <c r="O788"/>
    </row>
    <row r="789" spans="2:15" x14ac:dyDescent="0.35">
      <c r="B789" t="e">
        <v>#N/A</v>
      </c>
      <c r="O789"/>
    </row>
    <row r="790" spans="2:15" x14ac:dyDescent="0.35">
      <c r="B790" t="e">
        <v>#N/A</v>
      </c>
      <c r="O790"/>
    </row>
    <row r="791" spans="2:15" x14ac:dyDescent="0.35">
      <c r="B791" t="e">
        <v>#N/A</v>
      </c>
      <c r="O791"/>
    </row>
    <row r="792" spans="2:15" x14ac:dyDescent="0.35">
      <c r="B792" t="e">
        <v>#N/A</v>
      </c>
      <c r="O792"/>
    </row>
    <row r="793" spans="2:15" x14ac:dyDescent="0.35">
      <c r="B793" t="e">
        <v>#N/A</v>
      </c>
      <c r="O793"/>
    </row>
    <row r="794" spans="2:15" x14ac:dyDescent="0.35">
      <c r="B794" t="e">
        <v>#N/A</v>
      </c>
      <c r="O794"/>
    </row>
    <row r="795" spans="2:15" x14ac:dyDescent="0.35">
      <c r="B795" t="e">
        <v>#N/A</v>
      </c>
      <c r="O795"/>
    </row>
    <row r="796" spans="2:15" x14ac:dyDescent="0.35">
      <c r="B796" t="e">
        <v>#N/A</v>
      </c>
      <c r="O796"/>
    </row>
    <row r="797" spans="2:15" x14ac:dyDescent="0.35">
      <c r="B797" t="e">
        <v>#N/A</v>
      </c>
      <c r="O797"/>
    </row>
    <row r="798" spans="2:15" x14ac:dyDescent="0.35">
      <c r="B798" t="e">
        <v>#N/A</v>
      </c>
      <c r="O798"/>
    </row>
    <row r="799" spans="2:15" x14ac:dyDescent="0.35">
      <c r="B799" t="e">
        <v>#N/A</v>
      </c>
      <c r="O799"/>
    </row>
    <row r="800" spans="2:15" x14ac:dyDescent="0.35">
      <c r="B800" t="e">
        <v>#N/A</v>
      </c>
      <c r="O800"/>
    </row>
    <row r="801" spans="2:15" x14ac:dyDescent="0.35">
      <c r="B801" t="e">
        <v>#N/A</v>
      </c>
      <c r="O801"/>
    </row>
    <row r="802" spans="2:15" x14ac:dyDescent="0.35">
      <c r="B802" t="e">
        <v>#N/A</v>
      </c>
      <c r="O802"/>
    </row>
    <row r="803" spans="2:15" x14ac:dyDescent="0.35">
      <c r="B803" t="e">
        <v>#N/A</v>
      </c>
      <c r="O803"/>
    </row>
    <row r="804" spans="2:15" x14ac:dyDescent="0.35">
      <c r="B804" t="e">
        <v>#N/A</v>
      </c>
      <c r="O804"/>
    </row>
    <row r="805" spans="2:15" x14ac:dyDescent="0.35">
      <c r="B805" t="e">
        <v>#N/A</v>
      </c>
      <c r="O805"/>
    </row>
    <row r="806" spans="2:15" x14ac:dyDescent="0.35">
      <c r="B806" t="e">
        <v>#N/A</v>
      </c>
      <c r="O806"/>
    </row>
    <row r="807" spans="2:15" x14ac:dyDescent="0.35">
      <c r="B807" t="e">
        <v>#N/A</v>
      </c>
      <c r="O807"/>
    </row>
    <row r="808" spans="2:15" x14ac:dyDescent="0.35">
      <c r="B808" t="e">
        <v>#N/A</v>
      </c>
      <c r="O808"/>
    </row>
    <row r="809" spans="2:15" x14ac:dyDescent="0.35">
      <c r="B809" t="e">
        <v>#N/A</v>
      </c>
      <c r="O809"/>
    </row>
    <row r="810" spans="2:15" x14ac:dyDescent="0.35">
      <c r="B810" t="e">
        <v>#N/A</v>
      </c>
      <c r="O810"/>
    </row>
    <row r="811" spans="2:15" x14ac:dyDescent="0.35">
      <c r="B811" t="e">
        <v>#N/A</v>
      </c>
      <c r="O811"/>
    </row>
    <row r="812" spans="2:15" x14ac:dyDescent="0.35">
      <c r="B812" t="e">
        <v>#N/A</v>
      </c>
      <c r="O812"/>
    </row>
    <row r="813" spans="2:15" x14ac:dyDescent="0.35">
      <c r="B813" t="e">
        <v>#N/A</v>
      </c>
      <c r="O813"/>
    </row>
    <row r="814" spans="2:15" x14ac:dyDescent="0.35">
      <c r="B814" t="e">
        <v>#N/A</v>
      </c>
      <c r="O814"/>
    </row>
    <row r="815" spans="2:15" x14ac:dyDescent="0.35">
      <c r="B815" t="e">
        <v>#N/A</v>
      </c>
      <c r="O815"/>
    </row>
    <row r="816" spans="2:15" x14ac:dyDescent="0.35">
      <c r="B816" t="e">
        <v>#N/A</v>
      </c>
      <c r="O816"/>
    </row>
    <row r="817" spans="2:15" x14ac:dyDescent="0.35">
      <c r="B817" t="e">
        <v>#N/A</v>
      </c>
      <c r="O817"/>
    </row>
    <row r="818" spans="2:15" x14ac:dyDescent="0.35">
      <c r="B818" t="e">
        <v>#N/A</v>
      </c>
      <c r="O818"/>
    </row>
    <row r="819" spans="2:15" x14ac:dyDescent="0.35">
      <c r="B819" t="e">
        <v>#N/A</v>
      </c>
      <c r="O819"/>
    </row>
    <row r="820" spans="2:15" x14ac:dyDescent="0.35">
      <c r="B820" t="e">
        <v>#N/A</v>
      </c>
      <c r="O820"/>
    </row>
    <row r="821" spans="2:15" x14ac:dyDescent="0.35">
      <c r="B821" t="e">
        <v>#N/A</v>
      </c>
      <c r="O821"/>
    </row>
    <row r="822" spans="2:15" x14ac:dyDescent="0.35">
      <c r="B822" t="e">
        <v>#N/A</v>
      </c>
      <c r="O822"/>
    </row>
    <row r="823" spans="2:15" x14ac:dyDescent="0.35">
      <c r="B823" t="e">
        <v>#N/A</v>
      </c>
      <c r="O823"/>
    </row>
    <row r="824" spans="2:15" x14ac:dyDescent="0.35">
      <c r="B824" t="e">
        <v>#N/A</v>
      </c>
      <c r="O824"/>
    </row>
    <row r="825" spans="2:15" x14ac:dyDescent="0.35">
      <c r="B825" t="e">
        <v>#N/A</v>
      </c>
      <c r="O825"/>
    </row>
    <row r="826" spans="2:15" x14ac:dyDescent="0.35">
      <c r="B826" t="e">
        <v>#N/A</v>
      </c>
      <c r="O826"/>
    </row>
    <row r="827" spans="2:15" x14ac:dyDescent="0.35">
      <c r="B827" t="e">
        <v>#N/A</v>
      </c>
      <c r="O827"/>
    </row>
    <row r="828" spans="2:15" x14ac:dyDescent="0.35">
      <c r="B828" t="e">
        <v>#N/A</v>
      </c>
      <c r="O828"/>
    </row>
    <row r="829" spans="2:15" x14ac:dyDescent="0.35">
      <c r="B829" t="e">
        <v>#N/A</v>
      </c>
      <c r="O829"/>
    </row>
    <row r="830" spans="2:15" x14ac:dyDescent="0.35">
      <c r="B830" t="e">
        <v>#N/A</v>
      </c>
      <c r="O830"/>
    </row>
    <row r="831" spans="2:15" x14ac:dyDescent="0.35">
      <c r="B831" t="e">
        <v>#N/A</v>
      </c>
      <c r="O831"/>
    </row>
    <row r="832" spans="2:15" x14ac:dyDescent="0.35">
      <c r="B832" t="e">
        <v>#N/A</v>
      </c>
      <c r="O832"/>
    </row>
    <row r="833" spans="2:15" x14ac:dyDescent="0.35">
      <c r="B833" t="e">
        <v>#N/A</v>
      </c>
      <c r="O833"/>
    </row>
    <row r="834" spans="2:15" x14ac:dyDescent="0.35">
      <c r="B834" t="e">
        <v>#N/A</v>
      </c>
      <c r="O834"/>
    </row>
    <row r="835" spans="2:15" x14ac:dyDescent="0.35">
      <c r="B835" t="e">
        <v>#N/A</v>
      </c>
      <c r="O835"/>
    </row>
    <row r="836" spans="2:15" x14ac:dyDescent="0.35">
      <c r="B836" t="e">
        <v>#N/A</v>
      </c>
      <c r="O836"/>
    </row>
    <row r="837" spans="2:15" x14ac:dyDescent="0.35">
      <c r="B837" t="e">
        <v>#N/A</v>
      </c>
      <c r="O837"/>
    </row>
    <row r="838" spans="2:15" x14ac:dyDescent="0.35">
      <c r="B838" t="e">
        <v>#N/A</v>
      </c>
      <c r="O838"/>
    </row>
    <row r="839" spans="2:15" x14ac:dyDescent="0.35">
      <c r="B839" t="e">
        <v>#N/A</v>
      </c>
      <c r="O839"/>
    </row>
    <row r="840" spans="2:15" x14ac:dyDescent="0.35">
      <c r="B840" t="e">
        <v>#N/A</v>
      </c>
      <c r="O840"/>
    </row>
    <row r="841" spans="2:15" x14ac:dyDescent="0.35">
      <c r="B841" t="e">
        <v>#N/A</v>
      </c>
      <c r="O841"/>
    </row>
    <row r="842" spans="2:15" x14ac:dyDescent="0.35">
      <c r="B842" t="e">
        <v>#N/A</v>
      </c>
      <c r="O842"/>
    </row>
    <row r="843" spans="2:15" x14ac:dyDescent="0.35">
      <c r="B843" t="e">
        <v>#N/A</v>
      </c>
      <c r="O843"/>
    </row>
    <row r="844" spans="2:15" x14ac:dyDescent="0.35">
      <c r="B844" t="e">
        <v>#N/A</v>
      </c>
      <c r="O844"/>
    </row>
    <row r="845" spans="2:15" x14ac:dyDescent="0.35">
      <c r="B845" t="e">
        <v>#N/A</v>
      </c>
      <c r="O845"/>
    </row>
    <row r="846" spans="2:15" x14ac:dyDescent="0.35">
      <c r="B846" t="e">
        <v>#N/A</v>
      </c>
      <c r="O846"/>
    </row>
    <row r="847" spans="2:15" x14ac:dyDescent="0.35">
      <c r="B847" t="e">
        <v>#N/A</v>
      </c>
      <c r="O847"/>
    </row>
    <row r="848" spans="2:15" x14ac:dyDescent="0.35">
      <c r="B848" t="e">
        <v>#N/A</v>
      </c>
      <c r="O848"/>
    </row>
    <row r="849" spans="2:15" x14ac:dyDescent="0.35">
      <c r="B849" t="e">
        <v>#N/A</v>
      </c>
      <c r="O849"/>
    </row>
    <row r="850" spans="2:15" x14ac:dyDescent="0.35">
      <c r="B850" t="e">
        <v>#N/A</v>
      </c>
      <c r="O850"/>
    </row>
    <row r="851" spans="2:15" x14ac:dyDescent="0.35">
      <c r="B851" t="e">
        <v>#N/A</v>
      </c>
      <c r="O851"/>
    </row>
    <row r="852" spans="2:15" x14ac:dyDescent="0.35">
      <c r="B852" t="e">
        <v>#N/A</v>
      </c>
      <c r="O852"/>
    </row>
    <row r="853" spans="2:15" x14ac:dyDescent="0.35">
      <c r="B853" t="e">
        <v>#N/A</v>
      </c>
      <c r="O853"/>
    </row>
    <row r="854" spans="2:15" x14ac:dyDescent="0.35">
      <c r="B854" t="e">
        <v>#N/A</v>
      </c>
      <c r="O854"/>
    </row>
    <row r="855" spans="2:15" x14ac:dyDescent="0.35">
      <c r="B855" t="e">
        <v>#N/A</v>
      </c>
      <c r="O855"/>
    </row>
    <row r="856" spans="2:15" x14ac:dyDescent="0.35">
      <c r="B856" t="e">
        <v>#N/A</v>
      </c>
      <c r="O856"/>
    </row>
    <row r="857" spans="2:15" x14ac:dyDescent="0.35">
      <c r="B857" t="e">
        <v>#N/A</v>
      </c>
      <c r="O857"/>
    </row>
    <row r="858" spans="2:15" x14ac:dyDescent="0.35">
      <c r="B858" t="e">
        <v>#N/A</v>
      </c>
      <c r="O858"/>
    </row>
    <row r="859" spans="2:15" x14ac:dyDescent="0.35">
      <c r="B859" t="e">
        <v>#N/A</v>
      </c>
      <c r="O859"/>
    </row>
    <row r="860" spans="2:15" x14ac:dyDescent="0.35">
      <c r="B860" t="e">
        <v>#N/A</v>
      </c>
      <c r="O860"/>
    </row>
    <row r="861" spans="2:15" x14ac:dyDescent="0.35">
      <c r="B861" t="e">
        <v>#N/A</v>
      </c>
      <c r="O861"/>
    </row>
    <row r="862" spans="2:15" x14ac:dyDescent="0.35">
      <c r="B862" t="e">
        <v>#N/A</v>
      </c>
      <c r="O862"/>
    </row>
    <row r="863" spans="2:15" x14ac:dyDescent="0.35">
      <c r="B863" t="e">
        <v>#N/A</v>
      </c>
      <c r="O863"/>
    </row>
    <row r="864" spans="2:15" x14ac:dyDescent="0.35">
      <c r="B864" t="e">
        <v>#N/A</v>
      </c>
      <c r="O864"/>
    </row>
    <row r="865" spans="2:15" x14ac:dyDescent="0.35">
      <c r="B865" t="e">
        <v>#N/A</v>
      </c>
      <c r="O865"/>
    </row>
    <row r="866" spans="2:15" x14ac:dyDescent="0.35">
      <c r="B866" t="e">
        <v>#N/A</v>
      </c>
      <c r="O866"/>
    </row>
    <row r="867" spans="2:15" x14ac:dyDescent="0.35">
      <c r="B867" t="e">
        <v>#N/A</v>
      </c>
      <c r="O867"/>
    </row>
    <row r="868" spans="2:15" x14ac:dyDescent="0.35">
      <c r="B868" t="e">
        <v>#N/A</v>
      </c>
      <c r="O868"/>
    </row>
    <row r="869" spans="2:15" x14ac:dyDescent="0.35">
      <c r="B869" t="e">
        <v>#N/A</v>
      </c>
      <c r="O869"/>
    </row>
    <row r="870" spans="2:15" x14ac:dyDescent="0.35">
      <c r="B870" t="e">
        <v>#N/A</v>
      </c>
      <c r="O870"/>
    </row>
    <row r="871" spans="2:15" x14ac:dyDescent="0.35">
      <c r="B871" t="e">
        <v>#N/A</v>
      </c>
      <c r="O871"/>
    </row>
    <row r="872" spans="2:15" x14ac:dyDescent="0.35">
      <c r="B872" t="e">
        <v>#N/A</v>
      </c>
      <c r="O872"/>
    </row>
    <row r="873" spans="2:15" x14ac:dyDescent="0.35">
      <c r="B873" t="e">
        <v>#N/A</v>
      </c>
      <c r="O873"/>
    </row>
    <row r="874" spans="2:15" x14ac:dyDescent="0.35">
      <c r="B874" t="e">
        <v>#N/A</v>
      </c>
      <c r="O874"/>
    </row>
    <row r="875" spans="2:15" x14ac:dyDescent="0.35">
      <c r="B875" t="e">
        <v>#N/A</v>
      </c>
      <c r="O875"/>
    </row>
    <row r="876" spans="2:15" x14ac:dyDescent="0.35">
      <c r="B876" t="e">
        <v>#N/A</v>
      </c>
      <c r="O876"/>
    </row>
    <row r="877" spans="2:15" x14ac:dyDescent="0.35">
      <c r="B877" t="e">
        <v>#N/A</v>
      </c>
      <c r="O877"/>
    </row>
    <row r="878" spans="2:15" x14ac:dyDescent="0.35">
      <c r="B878" t="e">
        <v>#N/A</v>
      </c>
      <c r="O878"/>
    </row>
    <row r="879" spans="2:15" x14ac:dyDescent="0.35">
      <c r="B879" t="e">
        <v>#N/A</v>
      </c>
      <c r="O879"/>
    </row>
    <row r="880" spans="2:15" x14ac:dyDescent="0.35">
      <c r="B880" t="e">
        <v>#N/A</v>
      </c>
      <c r="O880"/>
    </row>
    <row r="881" spans="2:15" x14ac:dyDescent="0.35">
      <c r="B881" t="e">
        <v>#N/A</v>
      </c>
      <c r="O881"/>
    </row>
    <row r="882" spans="2:15" x14ac:dyDescent="0.35">
      <c r="B882" t="e">
        <v>#N/A</v>
      </c>
      <c r="O882"/>
    </row>
    <row r="883" spans="2:15" x14ac:dyDescent="0.35">
      <c r="B883" t="e">
        <v>#N/A</v>
      </c>
      <c r="O883"/>
    </row>
    <row r="884" spans="2:15" x14ac:dyDescent="0.35">
      <c r="B884" t="e">
        <v>#N/A</v>
      </c>
      <c r="O884"/>
    </row>
    <row r="885" spans="2:15" x14ac:dyDescent="0.35">
      <c r="B885" t="e">
        <v>#N/A</v>
      </c>
      <c r="O885"/>
    </row>
    <row r="886" spans="2:15" x14ac:dyDescent="0.35">
      <c r="B886" t="e">
        <v>#N/A</v>
      </c>
      <c r="O886"/>
    </row>
    <row r="887" spans="2:15" x14ac:dyDescent="0.35">
      <c r="B887" t="e">
        <v>#N/A</v>
      </c>
      <c r="O887"/>
    </row>
    <row r="888" spans="2:15" x14ac:dyDescent="0.35">
      <c r="B888" t="e">
        <v>#N/A</v>
      </c>
      <c r="O888"/>
    </row>
    <row r="889" spans="2:15" x14ac:dyDescent="0.35">
      <c r="B889" t="e">
        <v>#N/A</v>
      </c>
      <c r="O889"/>
    </row>
    <row r="890" spans="2:15" x14ac:dyDescent="0.35">
      <c r="B890" t="e">
        <v>#N/A</v>
      </c>
      <c r="O890"/>
    </row>
    <row r="891" spans="2:15" x14ac:dyDescent="0.35">
      <c r="B891" t="e">
        <v>#N/A</v>
      </c>
      <c r="O891"/>
    </row>
    <row r="892" spans="2:15" x14ac:dyDescent="0.35">
      <c r="B892" t="e">
        <v>#N/A</v>
      </c>
      <c r="O892"/>
    </row>
    <row r="893" spans="2:15" x14ac:dyDescent="0.35">
      <c r="B893" t="e">
        <v>#N/A</v>
      </c>
      <c r="O893"/>
    </row>
    <row r="894" spans="2:15" x14ac:dyDescent="0.35">
      <c r="B894" t="e">
        <v>#N/A</v>
      </c>
      <c r="O894"/>
    </row>
    <row r="895" spans="2:15" x14ac:dyDescent="0.35">
      <c r="B895" t="e">
        <v>#N/A</v>
      </c>
      <c r="O895"/>
    </row>
    <row r="896" spans="2:15" x14ac:dyDescent="0.35">
      <c r="B896" t="e">
        <v>#N/A</v>
      </c>
      <c r="O896"/>
    </row>
    <row r="897" spans="2:15" x14ac:dyDescent="0.35">
      <c r="B897" t="e">
        <v>#N/A</v>
      </c>
      <c r="O897"/>
    </row>
    <row r="898" spans="2:15" x14ac:dyDescent="0.35">
      <c r="B898" t="e">
        <v>#N/A</v>
      </c>
      <c r="O898"/>
    </row>
    <row r="899" spans="2:15" x14ac:dyDescent="0.35">
      <c r="B899" t="e">
        <v>#N/A</v>
      </c>
      <c r="O899"/>
    </row>
    <row r="900" spans="2:15" x14ac:dyDescent="0.35">
      <c r="B900" t="e">
        <v>#N/A</v>
      </c>
      <c r="O900"/>
    </row>
    <row r="901" spans="2:15" x14ac:dyDescent="0.35">
      <c r="B901" t="e">
        <v>#N/A</v>
      </c>
      <c r="O901"/>
    </row>
    <row r="902" spans="2:15" x14ac:dyDescent="0.35">
      <c r="B902" t="e">
        <v>#N/A</v>
      </c>
      <c r="O902"/>
    </row>
    <row r="903" spans="2:15" x14ac:dyDescent="0.35">
      <c r="B903" t="e">
        <v>#N/A</v>
      </c>
      <c r="O903"/>
    </row>
    <row r="904" spans="2:15" x14ac:dyDescent="0.35">
      <c r="B904" t="e">
        <v>#N/A</v>
      </c>
      <c r="O904"/>
    </row>
    <row r="905" spans="2:15" x14ac:dyDescent="0.35">
      <c r="B905" t="e">
        <v>#N/A</v>
      </c>
      <c r="O905"/>
    </row>
    <row r="906" spans="2:15" x14ac:dyDescent="0.35">
      <c r="B906" t="e">
        <v>#N/A</v>
      </c>
      <c r="O906"/>
    </row>
    <row r="907" spans="2:15" x14ac:dyDescent="0.35">
      <c r="B907" t="e">
        <v>#N/A</v>
      </c>
      <c r="O907"/>
    </row>
    <row r="908" spans="2:15" x14ac:dyDescent="0.35">
      <c r="B908" t="e">
        <v>#N/A</v>
      </c>
      <c r="O908"/>
    </row>
    <row r="909" spans="2:15" x14ac:dyDescent="0.35">
      <c r="B909" t="e">
        <v>#N/A</v>
      </c>
      <c r="O909"/>
    </row>
    <row r="910" spans="2:15" x14ac:dyDescent="0.35">
      <c r="B910" t="e">
        <v>#N/A</v>
      </c>
      <c r="O910"/>
    </row>
    <row r="911" spans="2:15" x14ac:dyDescent="0.35">
      <c r="B911" t="e">
        <v>#N/A</v>
      </c>
      <c r="O911"/>
    </row>
    <row r="912" spans="2:15" x14ac:dyDescent="0.35">
      <c r="B912" t="e">
        <v>#N/A</v>
      </c>
      <c r="O912"/>
    </row>
    <row r="913" spans="2:15" x14ac:dyDescent="0.35">
      <c r="B913" t="e">
        <v>#N/A</v>
      </c>
      <c r="O913"/>
    </row>
    <row r="914" spans="2:15" x14ac:dyDescent="0.35">
      <c r="B914" t="e">
        <v>#N/A</v>
      </c>
      <c r="O914"/>
    </row>
    <row r="915" spans="2:15" x14ac:dyDescent="0.35">
      <c r="B915" t="e">
        <v>#N/A</v>
      </c>
      <c r="O915"/>
    </row>
    <row r="916" spans="2:15" x14ac:dyDescent="0.35">
      <c r="B916" t="e">
        <v>#N/A</v>
      </c>
      <c r="O916"/>
    </row>
    <row r="917" spans="2:15" x14ac:dyDescent="0.35">
      <c r="B917" t="e">
        <v>#N/A</v>
      </c>
      <c r="O917"/>
    </row>
    <row r="918" spans="2:15" x14ac:dyDescent="0.35">
      <c r="B918" t="e">
        <v>#N/A</v>
      </c>
      <c r="O918"/>
    </row>
    <row r="919" spans="2:15" x14ac:dyDescent="0.35">
      <c r="B919" t="e">
        <v>#N/A</v>
      </c>
      <c r="O919"/>
    </row>
    <row r="920" spans="2:15" x14ac:dyDescent="0.35">
      <c r="B920" t="e">
        <v>#N/A</v>
      </c>
      <c r="O920"/>
    </row>
    <row r="921" spans="2:15" x14ac:dyDescent="0.35">
      <c r="B921" t="e">
        <v>#N/A</v>
      </c>
      <c r="O921"/>
    </row>
    <row r="922" spans="2:15" x14ac:dyDescent="0.35">
      <c r="B922" t="e">
        <v>#N/A</v>
      </c>
      <c r="O922"/>
    </row>
    <row r="923" spans="2:15" x14ac:dyDescent="0.35">
      <c r="B923" t="e">
        <v>#N/A</v>
      </c>
      <c r="O923"/>
    </row>
    <row r="924" spans="2:15" x14ac:dyDescent="0.35">
      <c r="B924" t="e">
        <v>#N/A</v>
      </c>
      <c r="O924"/>
    </row>
    <row r="925" spans="2:15" x14ac:dyDescent="0.35">
      <c r="B925" t="e">
        <v>#N/A</v>
      </c>
      <c r="O925"/>
    </row>
    <row r="926" spans="2:15" x14ac:dyDescent="0.35">
      <c r="B926" t="e">
        <v>#N/A</v>
      </c>
      <c r="O926"/>
    </row>
    <row r="927" spans="2:15" x14ac:dyDescent="0.35">
      <c r="B927" t="e">
        <v>#N/A</v>
      </c>
      <c r="O927"/>
    </row>
    <row r="928" spans="2:15" x14ac:dyDescent="0.35">
      <c r="B928" t="e">
        <v>#N/A</v>
      </c>
      <c r="O928"/>
    </row>
    <row r="929" spans="2:15" x14ac:dyDescent="0.35">
      <c r="B929" t="e">
        <v>#N/A</v>
      </c>
      <c r="O929"/>
    </row>
    <row r="930" spans="2:15" x14ac:dyDescent="0.35">
      <c r="B930" t="e">
        <v>#N/A</v>
      </c>
      <c r="O930"/>
    </row>
    <row r="931" spans="2:15" x14ac:dyDescent="0.35">
      <c r="B931" t="e">
        <v>#N/A</v>
      </c>
      <c r="O931"/>
    </row>
    <row r="932" spans="2:15" x14ac:dyDescent="0.35">
      <c r="B932" t="e">
        <v>#N/A</v>
      </c>
      <c r="O932"/>
    </row>
    <row r="933" spans="2:15" x14ac:dyDescent="0.35">
      <c r="B933" t="e">
        <v>#N/A</v>
      </c>
      <c r="O933"/>
    </row>
    <row r="934" spans="2:15" x14ac:dyDescent="0.35">
      <c r="B934" t="e">
        <v>#N/A</v>
      </c>
      <c r="O934"/>
    </row>
    <row r="935" spans="2:15" x14ac:dyDescent="0.35">
      <c r="B935" t="e">
        <v>#N/A</v>
      </c>
      <c r="O935"/>
    </row>
    <row r="936" spans="2:15" x14ac:dyDescent="0.35">
      <c r="B936" t="e">
        <v>#N/A</v>
      </c>
      <c r="O936"/>
    </row>
    <row r="937" spans="2:15" x14ac:dyDescent="0.35">
      <c r="B937" t="e">
        <v>#N/A</v>
      </c>
      <c r="O937"/>
    </row>
    <row r="938" spans="2:15" x14ac:dyDescent="0.35">
      <c r="B938" t="e">
        <v>#N/A</v>
      </c>
      <c r="O938"/>
    </row>
    <row r="939" spans="2:15" x14ac:dyDescent="0.35">
      <c r="B939" t="e">
        <v>#N/A</v>
      </c>
      <c r="O939"/>
    </row>
    <row r="940" spans="2:15" x14ac:dyDescent="0.35">
      <c r="B940" t="e">
        <v>#N/A</v>
      </c>
      <c r="O940"/>
    </row>
    <row r="941" spans="2:15" x14ac:dyDescent="0.35">
      <c r="B941" t="e">
        <v>#N/A</v>
      </c>
      <c r="O941"/>
    </row>
    <row r="942" spans="2:15" x14ac:dyDescent="0.35">
      <c r="B942" t="e">
        <v>#N/A</v>
      </c>
      <c r="O942"/>
    </row>
    <row r="943" spans="2:15" x14ac:dyDescent="0.35">
      <c r="B943" t="e">
        <v>#N/A</v>
      </c>
      <c r="O943"/>
    </row>
    <row r="944" spans="2:15" x14ac:dyDescent="0.35">
      <c r="B944" t="e">
        <v>#N/A</v>
      </c>
      <c r="O944"/>
    </row>
    <row r="945" spans="2:15" x14ac:dyDescent="0.35">
      <c r="B945" t="e">
        <v>#N/A</v>
      </c>
      <c r="O945"/>
    </row>
    <row r="946" spans="2:15" x14ac:dyDescent="0.35">
      <c r="B946" t="e">
        <v>#N/A</v>
      </c>
      <c r="O946"/>
    </row>
    <row r="947" spans="2:15" x14ac:dyDescent="0.35">
      <c r="B947" t="e">
        <v>#N/A</v>
      </c>
      <c r="O947"/>
    </row>
    <row r="948" spans="2:15" x14ac:dyDescent="0.35">
      <c r="B948" t="e">
        <v>#N/A</v>
      </c>
      <c r="O948"/>
    </row>
    <row r="949" spans="2:15" x14ac:dyDescent="0.35">
      <c r="B949" t="e">
        <v>#N/A</v>
      </c>
      <c r="O949"/>
    </row>
    <row r="950" spans="2:15" x14ac:dyDescent="0.35">
      <c r="B950" t="e">
        <v>#N/A</v>
      </c>
      <c r="O950"/>
    </row>
    <row r="951" spans="2:15" x14ac:dyDescent="0.35">
      <c r="B951" t="e">
        <v>#N/A</v>
      </c>
      <c r="O951"/>
    </row>
    <row r="952" spans="2:15" x14ac:dyDescent="0.35">
      <c r="B952" t="e">
        <v>#N/A</v>
      </c>
      <c r="O952"/>
    </row>
    <row r="953" spans="2:15" x14ac:dyDescent="0.35">
      <c r="B953" t="e">
        <v>#N/A</v>
      </c>
      <c r="O953"/>
    </row>
    <row r="954" spans="2:15" x14ac:dyDescent="0.35">
      <c r="B954" t="e">
        <v>#N/A</v>
      </c>
      <c r="O954"/>
    </row>
    <row r="955" spans="2:15" x14ac:dyDescent="0.35">
      <c r="B955" t="e">
        <v>#N/A</v>
      </c>
      <c r="O955"/>
    </row>
    <row r="956" spans="2:15" x14ac:dyDescent="0.35">
      <c r="B956" t="e">
        <v>#N/A</v>
      </c>
      <c r="O956"/>
    </row>
    <row r="957" spans="2:15" x14ac:dyDescent="0.35">
      <c r="B957" t="e">
        <v>#N/A</v>
      </c>
      <c r="O957"/>
    </row>
    <row r="958" spans="2:15" x14ac:dyDescent="0.35">
      <c r="B958" t="e">
        <v>#N/A</v>
      </c>
      <c r="O958"/>
    </row>
    <row r="959" spans="2:15" x14ac:dyDescent="0.35">
      <c r="B959" t="e">
        <v>#N/A</v>
      </c>
      <c r="O959"/>
    </row>
    <row r="960" spans="2:15" x14ac:dyDescent="0.35">
      <c r="B960" t="e">
        <v>#N/A</v>
      </c>
      <c r="O960"/>
    </row>
    <row r="961" spans="2:15" x14ac:dyDescent="0.35">
      <c r="B961" t="e">
        <v>#N/A</v>
      </c>
      <c r="O961"/>
    </row>
    <row r="962" spans="2:15" x14ac:dyDescent="0.35">
      <c r="B962" t="e">
        <v>#N/A</v>
      </c>
      <c r="O962"/>
    </row>
    <row r="963" spans="2:15" x14ac:dyDescent="0.35">
      <c r="B963" t="e">
        <v>#N/A</v>
      </c>
      <c r="O963"/>
    </row>
    <row r="964" spans="2:15" x14ac:dyDescent="0.35">
      <c r="B964" t="e">
        <v>#N/A</v>
      </c>
      <c r="O964"/>
    </row>
    <row r="965" spans="2:15" x14ac:dyDescent="0.35">
      <c r="B965" t="e">
        <v>#N/A</v>
      </c>
      <c r="O965"/>
    </row>
    <row r="966" spans="2:15" x14ac:dyDescent="0.35">
      <c r="B966" t="e">
        <v>#N/A</v>
      </c>
      <c r="O966"/>
    </row>
    <row r="967" spans="2:15" x14ac:dyDescent="0.35">
      <c r="B967" t="e">
        <v>#N/A</v>
      </c>
      <c r="O967"/>
    </row>
    <row r="968" spans="2:15" x14ac:dyDescent="0.35">
      <c r="B968" t="e">
        <v>#N/A</v>
      </c>
      <c r="O968"/>
    </row>
    <row r="969" spans="2:15" x14ac:dyDescent="0.35">
      <c r="B969" t="e">
        <v>#N/A</v>
      </c>
      <c r="O969"/>
    </row>
    <row r="970" spans="2:15" x14ac:dyDescent="0.35">
      <c r="B970" t="e">
        <v>#N/A</v>
      </c>
      <c r="O970"/>
    </row>
    <row r="971" spans="2:15" x14ac:dyDescent="0.35">
      <c r="B971" t="e">
        <v>#N/A</v>
      </c>
      <c r="O971"/>
    </row>
    <row r="972" spans="2:15" x14ac:dyDescent="0.35">
      <c r="B972" t="e">
        <v>#N/A</v>
      </c>
      <c r="O972"/>
    </row>
    <row r="973" spans="2:15" x14ac:dyDescent="0.35">
      <c r="B973" t="e">
        <v>#N/A</v>
      </c>
      <c r="O973"/>
    </row>
    <row r="974" spans="2:15" x14ac:dyDescent="0.35">
      <c r="B974" t="e">
        <v>#N/A</v>
      </c>
      <c r="O974"/>
    </row>
    <row r="975" spans="2:15" x14ac:dyDescent="0.35">
      <c r="B975" t="e">
        <v>#N/A</v>
      </c>
      <c r="O975"/>
    </row>
    <row r="976" spans="2:15" x14ac:dyDescent="0.35">
      <c r="B976" t="e">
        <v>#N/A</v>
      </c>
      <c r="O976"/>
    </row>
    <row r="977" spans="2:15" x14ac:dyDescent="0.35">
      <c r="B977" t="e">
        <v>#N/A</v>
      </c>
      <c r="O977"/>
    </row>
    <row r="978" spans="2:15" x14ac:dyDescent="0.35">
      <c r="B978" t="e">
        <v>#N/A</v>
      </c>
      <c r="O978"/>
    </row>
    <row r="979" spans="2:15" x14ac:dyDescent="0.35">
      <c r="B979" t="e">
        <v>#N/A</v>
      </c>
      <c r="O979"/>
    </row>
    <row r="980" spans="2:15" x14ac:dyDescent="0.35">
      <c r="B980" t="e">
        <v>#N/A</v>
      </c>
      <c r="O980"/>
    </row>
    <row r="981" spans="2:15" x14ac:dyDescent="0.35">
      <c r="B981" t="e">
        <v>#N/A</v>
      </c>
      <c r="O981"/>
    </row>
    <row r="982" spans="2:15" x14ac:dyDescent="0.35">
      <c r="B982" t="e">
        <v>#N/A</v>
      </c>
      <c r="O982"/>
    </row>
    <row r="983" spans="2:15" x14ac:dyDescent="0.35">
      <c r="B983" t="e">
        <v>#N/A</v>
      </c>
      <c r="O983"/>
    </row>
    <row r="984" spans="2:15" x14ac:dyDescent="0.35">
      <c r="B984" t="e">
        <v>#N/A</v>
      </c>
      <c r="O984"/>
    </row>
    <row r="985" spans="2:15" x14ac:dyDescent="0.35">
      <c r="B985" t="e">
        <v>#N/A</v>
      </c>
      <c r="O985"/>
    </row>
    <row r="986" spans="2:15" x14ac:dyDescent="0.35">
      <c r="B986" t="e">
        <v>#N/A</v>
      </c>
      <c r="O986"/>
    </row>
    <row r="987" spans="2:15" x14ac:dyDescent="0.35">
      <c r="B987" t="e">
        <v>#N/A</v>
      </c>
      <c r="O987"/>
    </row>
    <row r="988" spans="2:15" x14ac:dyDescent="0.35">
      <c r="B988" t="e">
        <v>#N/A</v>
      </c>
      <c r="O988"/>
    </row>
    <row r="989" spans="2:15" x14ac:dyDescent="0.35">
      <c r="B989" t="e">
        <v>#N/A</v>
      </c>
      <c r="O989"/>
    </row>
    <row r="990" spans="2:15" x14ac:dyDescent="0.35">
      <c r="B990" t="e">
        <v>#N/A</v>
      </c>
      <c r="O990"/>
    </row>
    <row r="991" spans="2:15" x14ac:dyDescent="0.35">
      <c r="B991" t="e">
        <v>#N/A</v>
      </c>
      <c r="O991"/>
    </row>
    <row r="992" spans="2:15" x14ac:dyDescent="0.35">
      <c r="B992" t="e">
        <v>#N/A</v>
      </c>
      <c r="O992"/>
    </row>
    <row r="993" spans="2:15" x14ac:dyDescent="0.35">
      <c r="B993" t="e">
        <v>#N/A</v>
      </c>
      <c r="O993"/>
    </row>
    <row r="994" spans="2:15" x14ac:dyDescent="0.35">
      <c r="B994" t="e">
        <v>#N/A</v>
      </c>
      <c r="O994"/>
    </row>
    <row r="995" spans="2:15" x14ac:dyDescent="0.35">
      <c r="B995" t="e">
        <v>#N/A</v>
      </c>
      <c r="O995"/>
    </row>
    <row r="996" spans="2:15" x14ac:dyDescent="0.35">
      <c r="B996" t="e">
        <v>#N/A</v>
      </c>
      <c r="O996"/>
    </row>
    <row r="997" spans="2:15" x14ac:dyDescent="0.35">
      <c r="B997" t="e">
        <v>#N/A</v>
      </c>
      <c r="O997"/>
    </row>
    <row r="998" spans="2:15" x14ac:dyDescent="0.35">
      <c r="B998" t="e">
        <v>#N/A</v>
      </c>
      <c r="O998"/>
    </row>
    <row r="999" spans="2:15" x14ac:dyDescent="0.35">
      <c r="B999" t="e">
        <v>#N/A</v>
      </c>
      <c r="O999"/>
    </row>
    <row r="1000" spans="2:15" x14ac:dyDescent="0.35">
      <c r="B1000" t="e">
        <v>#N/A</v>
      </c>
      <c r="O1000"/>
    </row>
    <row r="1001" spans="2:15" x14ac:dyDescent="0.35">
      <c r="B1001" t="e">
        <v>#N/A</v>
      </c>
      <c r="O1001"/>
    </row>
    <row r="1002" spans="2:15" x14ac:dyDescent="0.35">
      <c r="B1002" t="e">
        <v>#N/A</v>
      </c>
      <c r="O1002"/>
    </row>
  </sheetData>
  <mergeCells count="4">
    <mergeCell ref="A1:E1"/>
    <mergeCell ref="N1:Q1"/>
    <mergeCell ref="Y1:AA1"/>
    <mergeCell ref="AD1:A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07A6-3997-429C-B078-4D5E34A2F3CA}">
  <dimension ref="A1:AU101"/>
  <sheetViews>
    <sheetView topLeftCell="P5" workbookViewId="0">
      <selection activeCell="Q13" sqref="Q13:R13"/>
    </sheetView>
  </sheetViews>
  <sheetFormatPr defaultRowHeight="14.5" x14ac:dyDescent="0.35"/>
  <cols>
    <col min="1" max="1" width="8.54296875" bestFit="1" customWidth="1"/>
    <col min="2" max="2" width="10.1796875" bestFit="1" customWidth="1"/>
    <col min="3" max="3" width="12" bestFit="1" customWidth="1"/>
    <col min="4" max="4" width="19.453125" bestFit="1" customWidth="1"/>
    <col min="5" max="5" width="10.7265625" bestFit="1" customWidth="1"/>
    <col min="6" max="6" width="11.26953125" bestFit="1" customWidth="1"/>
    <col min="7" max="8" width="9.7265625" bestFit="1" customWidth="1"/>
    <col min="9" max="9" width="6.81640625" bestFit="1" customWidth="1"/>
    <col min="10" max="10" width="13.1796875" bestFit="1" customWidth="1"/>
    <col min="11" max="11" width="8.1796875" bestFit="1" customWidth="1"/>
    <col min="12" max="12" width="12.36328125" bestFit="1" customWidth="1"/>
    <col min="13" max="13" width="15.54296875" bestFit="1" customWidth="1"/>
    <col min="14" max="14" width="13.36328125" bestFit="1" customWidth="1"/>
    <col min="15" max="15" width="16.6328125" bestFit="1" customWidth="1"/>
    <col min="17" max="17" width="12.36328125" bestFit="1" customWidth="1"/>
    <col min="18" max="18" width="15.26953125" bestFit="1" customWidth="1"/>
    <col min="19" max="19" width="9.81640625" bestFit="1" customWidth="1"/>
    <col min="20" max="20" width="7.26953125" bestFit="1" customWidth="1"/>
    <col min="21" max="21" width="5.81640625" bestFit="1" customWidth="1"/>
    <col min="22" max="22" width="4.81640625" bestFit="1" customWidth="1"/>
    <col min="23" max="23" width="10.7265625" bestFit="1" customWidth="1"/>
    <col min="26" max="26" width="18.81640625" bestFit="1" customWidth="1"/>
    <col min="27" max="27" width="15.26953125" bestFit="1" customWidth="1"/>
    <col min="28" max="28" width="9.81640625" bestFit="1" customWidth="1"/>
    <col min="29" max="29" width="7.26953125" bestFit="1" customWidth="1"/>
    <col min="30" max="30" width="5.81640625" bestFit="1" customWidth="1"/>
    <col min="31" max="31" width="4.81640625" bestFit="1" customWidth="1"/>
    <col min="32" max="32" width="10.7265625" bestFit="1" customWidth="1"/>
    <col min="35" max="35" width="18.81640625" bestFit="1" customWidth="1"/>
    <col min="36" max="36" width="15.26953125" bestFit="1" customWidth="1"/>
    <col min="37" max="37" width="9.08984375" bestFit="1" customWidth="1"/>
    <col min="38" max="38" width="10.26953125" bestFit="1" customWidth="1"/>
    <col min="39" max="39" width="9.7265625" bestFit="1" customWidth="1"/>
    <col min="40" max="40" width="6.36328125" bestFit="1" customWidth="1"/>
    <col min="41" max="41" width="10.7265625" bestFit="1" customWidth="1"/>
    <col min="43" max="43" width="12.36328125" bestFit="1" customWidth="1"/>
    <col min="44" max="44" width="18.81640625" bestFit="1" customWidth="1"/>
    <col min="46" max="46" width="12.36328125" bestFit="1" customWidth="1"/>
    <col min="47" max="47" width="18.81640625" bestFit="1" customWidth="1"/>
  </cols>
  <sheetData>
    <row r="1" spans="1:47" x14ac:dyDescent="0.35">
      <c r="A1" s="41" t="s">
        <v>0</v>
      </c>
      <c r="B1" s="42" t="s">
        <v>1</v>
      </c>
      <c r="C1" s="43" t="s">
        <v>2</v>
      </c>
      <c r="D1" s="44" t="s">
        <v>311</v>
      </c>
      <c r="E1" s="43" t="s">
        <v>3</v>
      </c>
      <c r="F1" s="41" t="s">
        <v>4</v>
      </c>
      <c r="G1" s="41" t="s">
        <v>5</v>
      </c>
      <c r="H1" s="41" t="s">
        <v>196</v>
      </c>
      <c r="I1" s="41" t="s">
        <v>6</v>
      </c>
      <c r="J1" s="45" t="s">
        <v>7</v>
      </c>
      <c r="K1" s="45" t="s">
        <v>8</v>
      </c>
      <c r="L1" s="45" t="s">
        <v>9</v>
      </c>
      <c r="M1" s="41" t="s">
        <v>10</v>
      </c>
      <c r="N1" s="41" t="s">
        <v>11</v>
      </c>
      <c r="O1" s="41" t="s">
        <v>12</v>
      </c>
      <c r="Q1" s="5" t="s">
        <v>340</v>
      </c>
      <c r="R1" s="5" t="s">
        <v>313</v>
      </c>
      <c r="Z1" s="5" t="s">
        <v>312</v>
      </c>
      <c r="AA1" s="5" t="s">
        <v>313</v>
      </c>
      <c r="AI1" s="5" t="s">
        <v>312</v>
      </c>
      <c r="AJ1" s="5" t="s">
        <v>313</v>
      </c>
      <c r="AQ1" s="5" t="s">
        <v>315</v>
      </c>
      <c r="AR1" t="s">
        <v>312</v>
      </c>
      <c r="AT1" s="5" t="s">
        <v>315</v>
      </c>
      <c r="AU1" t="s">
        <v>312</v>
      </c>
    </row>
    <row r="2" spans="1:47" x14ac:dyDescent="0.35">
      <c r="A2" s="35" t="s">
        <v>13</v>
      </c>
      <c r="B2" s="46">
        <v>45291</v>
      </c>
      <c r="C2" s="46"/>
      <c r="D2" s="47"/>
      <c r="E2" s="46">
        <v>45293</v>
      </c>
      <c r="F2" s="35" t="s">
        <v>14</v>
      </c>
      <c r="G2" s="35" t="s">
        <v>15</v>
      </c>
      <c r="H2" s="35" t="str">
        <f>VLOOKUP(G2,ProductMaster!A:C,3,0)</f>
        <v>Home</v>
      </c>
      <c r="I2" s="48" t="s">
        <v>16</v>
      </c>
      <c r="J2" s="36">
        <v>44</v>
      </c>
      <c r="K2" s="36">
        <v>1</v>
      </c>
      <c r="L2" s="36">
        <v>44</v>
      </c>
      <c r="M2" s="40" t="s">
        <v>17</v>
      </c>
      <c r="N2" s="35" t="s">
        <v>18</v>
      </c>
      <c r="O2" s="35" t="s">
        <v>19</v>
      </c>
      <c r="Q2" s="5" t="s">
        <v>315</v>
      </c>
      <c r="R2" t="s">
        <v>218</v>
      </c>
      <c r="S2" t="s">
        <v>200</v>
      </c>
      <c r="T2" t="s">
        <v>211</v>
      </c>
      <c r="U2" t="s">
        <v>206</v>
      </c>
      <c r="V2" t="s">
        <v>203</v>
      </c>
      <c r="W2" t="s">
        <v>314</v>
      </c>
      <c r="Z2" s="5" t="s">
        <v>315</v>
      </c>
      <c r="AA2" t="s">
        <v>218</v>
      </c>
      <c r="AB2" t="s">
        <v>200</v>
      </c>
      <c r="AC2" t="s">
        <v>211</v>
      </c>
      <c r="AD2" t="s">
        <v>206</v>
      </c>
      <c r="AE2" t="s">
        <v>203</v>
      </c>
      <c r="AF2" t="s">
        <v>314</v>
      </c>
      <c r="AI2" s="5" t="s">
        <v>315</v>
      </c>
      <c r="AJ2" t="s">
        <v>41</v>
      </c>
      <c r="AK2" t="s">
        <v>17</v>
      </c>
      <c r="AL2" t="s">
        <v>24</v>
      </c>
      <c r="AM2" t="s">
        <v>46</v>
      </c>
      <c r="AN2" t="s">
        <v>33</v>
      </c>
      <c r="AO2" t="s">
        <v>314</v>
      </c>
      <c r="AQ2" s="6" t="s">
        <v>328</v>
      </c>
      <c r="AR2" s="4">
        <v>1099</v>
      </c>
      <c r="AT2" s="6" t="s">
        <v>81</v>
      </c>
      <c r="AU2" s="4">
        <v>9644</v>
      </c>
    </row>
    <row r="3" spans="1:47" x14ac:dyDescent="0.35">
      <c r="A3" s="35" t="s">
        <v>20</v>
      </c>
      <c r="B3" s="46">
        <v>44979</v>
      </c>
      <c r="C3" s="46">
        <v>44981</v>
      </c>
      <c r="D3" s="47">
        <v>2</v>
      </c>
      <c r="E3" s="46"/>
      <c r="F3" s="35" t="s">
        <v>21</v>
      </c>
      <c r="G3" s="35" t="s">
        <v>22</v>
      </c>
      <c r="H3" s="35" t="str">
        <f>VLOOKUP(G3,ProductMaster!A:C,3,0)</f>
        <v>Toys</v>
      </c>
      <c r="I3" s="48" t="s">
        <v>23</v>
      </c>
      <c r="J3" s="36">
        <v>96</v>
      </c>
      <c r="K3" s="36">
        <v>4</v>
      </c>
      <c r="L3" s="36">
        <v>384</v>
      </c>
      <c r="M3" s="40" t="s">
        <v>24</v>
      </c>
      <c r="N3" s="35" t="s">
        <v>25</v>
      </c>
      <c r="O3" s="35" t="s">
        <v>19</v>
      </c>
      <c r="Q3" s="6" t="s">
        <v>45</v>
      </c>
      <c r="R3" s="4">
        <v>84</v>
      </c>
      <c r="S3" s="4">
        <v>2662</v>
      </c>
      <c r="T3" s="4">
        <v>210</v>
      </c>
      <c r="U3" s="4">
        <v>2063</v>
      </c>
      <c r="V3" s="4">
        <v>437</v>
      </c>
      <c r="W3" s="4">
        <v>5456</v>
      </c>
      <c r="Z3" s="6" t="s">
        <v>18</v>
      </c>
      <c r="AA3" s="4">
        <v>317</v>
      </c>
      <c r="AB3" s="4">
        <v>2174</v>
      </c>
      <c r="AC3" s="4">
        <v>1447</v>
      </c>
      <c r="AD3" s="4">
        <v>2501</v>
      </c>
      <c r="AE3" s="4">
        <v>522</v>
      </c>
      <c r="AF3" s="4">
        <v>6961</v>
      </c>
      <c r="AI3" s="6" t="s">
        <v>218</v>
      </c>
      <c r="AJ3" s="4">
        <v>548</v>
      </c>
      <c r="AK3" s="4"/>
      <c r="AL3" s="4">
        <v>118</v>
      </c>
      <c r="AM3" s="4">
        <v>408</v>
      </c>
      <c r="AN3" s="4">
        <v>641</v>
      </c>
      <c r="AO3" s="4">
        <v>1715</v>
      </c>
      <c r="AQ3" s="6" t="s">
        <v>329</v>
      </c>
      <c r="AR3" s="4">
        <v>3712</v>
      </c>
      <c r="AT3" s="6" t="s">
        <v>55</v>
      </c>
      <c r="AU3" s="4">
        <v>2496</v>
      </c>
    </row>
    <row r="4" spans="1:47" x14ac:dyDescent="0.35">
      <c r="A4" s="35" t="s">
        <v>26</v>
      </c>
      <c r="B4" s="46">
        <v>45210</v>
      </c>
      <c r="C4" s="46"/>
      <c r="D4" s="47"/>
      <c r="E4" s="46"/>
      <c r="F4" s="35" t="s">
        <v>14</v>
      </c>
      <c r="G4" s="35" t="s">
        <v>27</v>
      </c>
      <c r="H4" s="35" t="str">
        <f>VLOOKUP(G4,ProductMaster!A:C,3,0)</f>
        <v>Home</v>
      </c>
      <c r="I4" s="48" t="s">
        <v>28</v>
      </c>
      <c r="J4" s="36">
        <v>194</v>
      </c>
      <c r="K4" s="36">
        <v>4</v>
      </c>
      <c r="L4" s="36">
        <v>776</v>
      </c>
      <c r="M4" s="40" t="s">
        <v>24</v>
      </c>
      <c r="N4" s="35" t="s">
        <v>29</v>
      </c>
      <c r="O4" s="35" t="s">
        <v>30</v>
      </c>
      <c r="Q4" s="6" t="s">
        <v>23</v>
      </c>
      <c r="R4" s="4">
        <v>394</v>
      </c>
      <c r="S4" s="4">
        <v>365</v>
      </c>
      <c r="T4" s="4">
        <v>711</v>
      </c>
      <c r="U4" s="4">
        <v>741</v>
      </c>
      <c r="V4" s="4">
        <v>1424</v>
      </c>
      <c r="W4" s="4">
        <v>3635</v>
      </c>
      <c r="Z4" s="6" t="s">
        <v>25</v>
      </c>
      <c r="AA4" s="4">
        <v>127</v>
      </c>
      <c r="AB4" s="4">
        <v>6126</v>
      </c>
      <c r="AC4" s="4">
        <v>1376</v>
      </c>
      <c r="AD4" s="4">
        <v>4203</v>
      </c>
      <c r="AE4" s="4">
        <v>1824</v>
      </c>
      <c r="AF4" s="4">
        <v>13656</v>
      </c>
      <c r="AI4" s="6" t="s">
        <v>200</v>
      </c>
      <c r="AJ4" s="4">
        <v>990</v>
      </c>
      <c r="AK4" s="4">
        <v>3398</v>
      </c>
      <c r="AL4" s="4">
        <v>5490</v>
      </c>
      <c r="AM4" s="4">
        <v>3467</v>
      </c>
      <c r="AN4" s="4">
        <v>1864</v>
      </c>
      <c r="AO4" s="4">
        <v>15209</v>
      </c>
      <c r="AQ4" s="6" t="s">
        <v>330</v>
      </c>
      <c r="AR4" s="4">
        <v>905</v>
      </c>
      <c r="AT4" s="6" t="s">
        <v>64</v>
      </c>
      <c r="AU4" s="4">
        <v>1239</v>
      </c>
    </row>
    <row r="5" spans="1:47" x14ac:dyDescent="0.35">
      <c r="A5" s="35" t="s">
        <v>31</v>
      </c>
      <c r="B5" s="46">
        <v>45051</v>
      </c>
      <c r="C5" s="46"/>
      <c r="D5" s="47"/>
      <c r="E5" s="46">
        <v>45057</v>
      </c>
      <c r="F5" s="35" t="s">
        <v>32</v>
      </c>
      <c r="G5" s="35" t="s">
        <v>27</v>
      </c>
      <c r="H5" s="35" t="str">
        <f>VLOOKUP(G5,ProductMaster!A:C,3,0)</f>
        <v>Home</v>
      </c>
      <c r="I5" s="48" t="s">
        <v>16</v>
      </c>
      <c r="J5" s="36">
        <v>196</v>
      </c>
      <c r="K5" s="36">
        <v>3</v>
      </c>
      <c r="L5" s="36">
        <v>588</v>
      </c>
      <c r="M5" s="40" t="s">
        <v>33</v>
      </c>
      <c r="N5" s="35" t="s">
        <v>18</v>
      </c>
      <c r="O5" s="35" t="s">
        <v>34</v>
      </c>
      <c r="Q5" s="6" t="s">
        <v>16</v>
      </c>
      <c r="R5" s="4">
        <v>464</v>
      </c>
      <c r="S5" s="4">
        <v>6522</v>
      </c>
      <c r="T5" s="4">
        <v>788</v>
      </c>
      <c r="U5" s="4">
        <v>2131</v>
      </c>
      <c r="V5" s="4">
        <v>586</v>
      </c>
      <c r="W5" s="4">
        <v>10491</v>
      </c>
      <c r="Z5" s="6" t="s">
        <v>29</v>
      </c>
      <c r="AA5" s="4">
        <v>1271</v>
      </c>
      <c r="AB5" s="4">
        <v>6909</v>
      </c>
      <c r="AC5" s="4">
        <v>1049</v>
      </c>
      <c r="AD5" s="4">
        <v>4247</v>
      </c>
      <c r="AE5" s="4">
        <v>1165</v>
      </c>
      <c r="AF5" s="4">
        <v>14641</v>
      </c>
      <c r="AI5" s="6" t="s">
        <v>211</v>
      </c>
      <c r="AJ5" s="4">
        <v>1064</v>
      </c>
      <c r="AK5" s="4">
        <v>686</v>
      </c>
      <c r="AL5" s="4">
        <v>884</v>
      </c>
      <c r="AM5" s="4">
        <v>751</v>
      </c>
      <c r="AN5" s="4">
        <v>487</v>
      </c>
      <c r="AO5" s="4">
        <v>3872</v>
      </c>
      <c r="AQ5" s="6" t="s">
        <v>331</v>
      </c>
      <c r="AR5" s="4">
        <v>2637</v>
      </c>
      <c r="AT5" s="6" t="s">
        <v>76</v>
      </c>
      <c r="AU5" s="4">
        <v>1318</v>
      </c>
    </row>
    <row r="6" spans="1:47" x14ac:dyDescent="0.35">
      <c r="A6" s="35" t="s">
        <v>35</v>
      </c>
      <c r="B6" s="46">
        <v>44959</v>
      </c>
      <c r="C6" s="46">
        <v>44962</v>
      </c>
      <c r="D6" s="47">
        <v>3</v>
      </c>
      <c r="E6" s="46"/>
      <c r="F6" s="35" t="s">
        <v>36</v>
      </c>
      <c r="G6" s="35" t="s">
        <v>37</v>
      </c>
      <c r="H6" s="35" t="str">
        <f>VLOOKUP(G6,ProductMaster!A:C,3,0)</f>
        <v>Fashion</v>
      </c>
      <c r="I6" s="48" t="s">
        <v>16</v>
      </c>
      <c r="J6" s="36">
        <v>59</v>
      </c>
      <c r="K6" s="36">
        <v>1</v>
      </c>
      <c r="L6" s="36">
        <v>59</v>
      </c>
      <c r="M6" s="35" t="s">
        <v>33</v>
      </c>
      <c r="N6" s="35" t="s">
        <v>25</v>
      </c>
      <c r="O6" s="35" t="s">
        <v>38</v>
      </c>
      <c r="Q6" s="6" t="s">
        <v>28</v>
      </c>
      <c r="R6" s="4">
        <v>423</v>
      </c>
      <c r="S6" s="4">
        <v>3938</v>
      </c>
      <c r="T6" s="4">
        <v>1032</v>
      </c>
      <c r="U6" s="4">
        <v>1881</v>
      </c>
      <c r="V6" s="4">
        <v>43</v>
      </c>
      <c r="W6" s="4">
        <v>7317</v>
      </c>
      <c r="Z6" s="6" t="s">
        <v>314</v>
      </c>
      <c r="AA6" s="4">
        <v>1715</v>
      </c>
      <c r="AB6" s="4">
        <v>15209</v>
      </c>
      <c r="AC6" s="4">
        <v>3872</v>
      </c>
      <c r="AD6" s="4">
        <v>10951</v>
      </c>
      <c r="AE6" s="4">
        <v>3511</v>
      </c>
      <c r="AF6" s="4">
        <v>35258</v>
      </c>
      <c r="AI6" s="6" t="s">
        <v>206</v>
      </c>
      <c r="AJ6" s="4">
        <v>1367</v>
      </c>
      <c r="AK6" s="4">
        <v>1661</v>
      </c>
      <c r="AL6" s="4">
        <v>1439</v>
      </c>
      <c r="AM6" s="4">
        <v>2827</v>
      </c>
      <c r="AN6" s="4">
        <v>3657</v>
      </c>
      <c r="AO6" s="4">
        <v>10951</v>
      </c>
      <c r="AQ6" s="6" t="s">
        <v>332</v>
      </c>
      <c r="AR6" s="4">
        <v>4940</v>
      </c>
      <c r="AT6" s="6" t="s">
        <v>109</v>
      </c>
      <c r="AU6" s="4">
        <v>1212</v>
      </c>
    </row>
    <row r="7" spans="1:47" x14ac:dyDescent="0.35">
      <c r="A7" s="35" t="s">
        <v>39</v>
      </c>
      <c r="B7" s="46">
        <v>45231</v>
      </c>
      <c r="C7" s="46"/>
      <c r="D7" s="47"/>
      <c r="E7" s="46">
        <v>45232</v>
      </c>
      <c r="F7" s="35" t="s">
        <v>40</v>
      </c>
      <c r="G7" s="35" t="s">
        <v>37</v>
      </c>
      <c r="H7" s="35" t="str">
        <f>VLOOKUP(G7,ProductMaster!A:C,3,0)</f>
        <v>Fashion</v>
      </c>
      <c r="I7" s="48" t="s">
        <v>16</v>
      </c>
      <c r="J7" s="36">
        <v>58</v>
      </c>
      <c r="K7" s="36">
        <v>4</v>
      </c>
      <c r="L7" s="36">
        <v>232</v>
      </c>
      <c r="M7" s="35" t="s">
        <v>41</v>
      </c>
      <c r="N7" s="35" t="s">
        <v>18</v>
      </c>
      <c r="O7" s="35" t="s">
        <v>19</v>
      </c>
      <c r="Q7" s="6" t="s">
        <v>50</v>
      </c>
      <c r="R7" s="4">
        <v>350</v>
      </c>
      <c r="S7" s="4">
        <v>1722</v>
      </c>
      <c r="T7" s="4">
        <v>1131</v>
      </c>
      <c r="U7" s="4">
        <v>4135</v>
      </c>
      <c r="V7" s="4">
        <v>1021</v>
      </c>
      <c r="W7" s="4">
        <v>8359</v>
      </c>
      <c r="AI7" s="6" t="s">
        <v>203</v>
      </c>
      <c r="AJ7" s="4">
        <v>750</v>
      </c>
      <c r="AK7" s="4">
        <v>399</v>
      </c>
      <c r="AL7" s="4">
        <v>1467</v>
      </c>
      <c r="AM7" s="4">
        <v>895</v>
      </c>
      <c r="AN7" s="4"/>
      <c r="AO7" s="4">
        <v>3511</v>
      </c>
      <c r="AQ7" s="6" t="s">
        <v>333</v>
      </c>
      <c r="AR7" s="4">
        <v>2599</v>
      </c>
      <c r="AT7" s="6" t="s">
        <v>27</v>
      </c>
      <c r="AU7" s="4">
        <v>2144</v>
      </c>
    </row>
    <row r="8" spans="1:47" x14ac:dyDescent="0.35">
      <c r="A8" s="35" t="s">
        <v>42</v>
      </c>
      <c r="B8" s="46">
        <v>45152</v>
      </c>
      <c r="C8" s="46"/>
      <c r="D8" s="47"/>
      <c r="E8" s="46">
        <v>45156</v>
      </c>
      <c r="F8" s="35" t="s">
        <v>43</v>
      </c>
      <c r="G8" s="35" t="s">
        <v>44</v>
      </c>
      <c r="H8" s="35" t="str">
        <f>VLOOKUP(G8,ProductMaster!A:C,3,0)</f>
        <v>Electronics</v>
      </c>
      <c r="I8" s="48" t="s">
        <v>45</v>
      </c>
      <c r="J8" s="36">
        <v>105</v>
      </c>
      <c r="K8" s="36">
        <v>3</v>
      </c>
      <c r="L8" s="36">
        <v>315</v>
      </c>
      <c r="M8" s="35" t="s">
        <v>46</v>
      </c>
      <c r="N8" s="35" t="s">
        <v>18</v>
      </c>
      <c r="O8" s="35" t="s">
        <v>19</v>
      </c>
      <c r="Q8" s="6" t="s">
        <v>314</v>
      </c>
      <c r="R8" s="4">
        <v>1715</v>
      </c>
      <c r="S8" s="4">
        <v>15209</v>
      </c>
      <c r="T8" s="4">
        <v>3872</v>
      </c>
      <c r="U8" s="4">
        <v>10951</v>
      </c>
      <c r="V8" s="4">
        <v>3511</v>
      </c>
      <c r="W8" s="4">
        <v>35258</v>
      </c>
      <c r="AI8" s="6" t="s">
        <v>314</v>
      </c>
      <c r="AJ8" s="4">
        <v>4719</v>
      </c>
      <c r="AK8" s="4">
        <v>6144</v>
      </c>
      <c r="AL8" s="4">
        <v>9398</v>
      </c>
      <c r="AM8" s="4">
        <v>8348</v>
      </c>
      <c r="AN8" s="4">
        <v>6649</v>
      </c>
      <c r="AO8" s="4">
        <v>35258</v>
      </c>
      <c r="AQ8" s="6" t="s">
        <v>334</v>
      </c>
      <c r="AR8" s="4">
        <v>3315</v>
      </c>
      <c r="AT8" s="6" t="s">
        <v>58</v>
      </c>
      <c r="AU8" s="4">
        <v>2230</v>
      </c>
    </row>
    <row r="9" spans="1:47" x14ac:dyDescent="0.35">
      <c r="A9" s="35" t="s">
        <v>47</v>
      </c>
      <c r="B9" s="46">
        <v>45017</v>
      </c>
      <c r="C9" s="46"/>
      <c r="D9" s="47"/>
      <c r="E9" s="46">
        <v>45022</v>
      </c>
      <c r="F9" s="35" t="s">
        <v>48</v>
      </c>
      <c r="G9" s="35" t="s">
        <v>49</v>
      </c>
      <c r="H9" s="35" t="str">
        <f>VLOOKUP(G9,ProductMaster!A:C,3,0)</f>
        <v>Home</v>
      </c>
      <c r="I9" s="48" t="s">
        <v>50</v>
      </c>
      <c r="J9" s="36">
        <v>37</v>
      </c>
      <c r="K9" s="36">
        <v>5</v>
      </c>
      <c r="L9" s="36">
        <v>185</v>
      </c>
      <c r="M9" s="35" t="s">
        <v>33</v>
      </c>
      <c r="N9" s="35" t="s">
        <v>18</v>
      </c>
      <c r="O9" s="35" t="s">
        <v>19</v>
      </c>
      <c r="AQ9" s="6" t="s">
        <v>335</v>
      </c>
      <c r="AR9" s="4">
        <v>782</v>
      </c>
      <c r="AT9" s="6" t="s">
        <v>111</v>
      </c>
      <c r="AU9" s="4">
        <v>5151</v>
      </c>
    </row>
    <row r="10" spans="1:47" x14ac:dyDescent="0.35">
      <c r="A10" s="35" t="s">
        <v>51</v>
      </c>
      <c r="B10" s="46">
        <v>45128</v>
      </c>
      <c r="C10" s="46"/>
      <c r="D10" s="47"/>
      <c r="E10" s="46"/>
      <c r="F10" s="35" t="s">
        <v>52</v>
      </c>
      <c r="G10" s="35" t="s">
        <v>53</v>
      </c>
      <c r="H10" s="35" t="str">
        <f>VLOOKUP(G10,ProductMaster!A:C,3,0)</f>
        <v>Fashion</v>
      </c>
      <c r="I10" s="48" t="s">
        <v>45</v>
      </c>
      <c r="J10" s="36">
        <v>44</v>
      </c>
      <c r="K10" s="36">
        <v>2</v>
      </c>
      <c r="L10" s="36">
        <v>88</v>
      </c>
      <c r="M10" s="35" t="s">
        <v>24</v>
      </c>
      <c r="N10" s="35" t="s">
        <v>29</v>
      </c>
      <c r="O10" s="35" t="s">
        <v>38</v>
      </c>
      <c r="AQ10" s="6" t="s">
        <v>336</v>
      </c>
      <c r="AR10" s="4">
        <v>1570</v>
      </c>
      <c r="AT10" s="6" t="s">
        <v>67</v>
      </c>
      <c r="AU10" s="4">
        <v>1392</v>
      </c>
    </row>
    <row r="11" spans="1:47" x14ac:dyDescent="0.35">
      <c r="A11" s="35" t="s">
        <v>54</v>
      </c>
      <c r="B11" s="46">
        <v>45289</v>
      </c>
      <c r="C11" s="46"/>
      <c r="D11" s="47"/>
      <c r="E11" s="46"/>
      <c r="F11" s="35" t="s">
        <v>48</v>
      </c>
      <c r="G11" s="35" t="s">
        <v>55</v>
      </c>
      <c r="H11" s="35" t="str">
        <f>VLOOKUP(G11,ProductMaster!A:C,3,0)</f>
        <v>Home</v>
      </c>
      <c r="I11" s="48" t="s">
        <v>28</v>
      </c>
      <c r="J11" s="36">
        <v>141</v>
      </c>
      <c r="K11" s="36">
        <v>4</v>
      </c>
      <c r="L11" s="36">
        <v>564</v>
      </c>
      <c r="M11" s="35" t="s">
        <v>46</v>
      </c>
      <c r="N11" s="35" t="s">
        <v>29</v>
      </c>
      <c r="O11" s="35" t="s">
        <v>19</v>
      </c>
      <c r="Q11" s="6" t="s">
        <v>342</v>
      </c>
      <c r="AQ11" s="6" t="s">
        <v>337</v>
      </c>
      <c r="AR11" s="4">
        <v>2920</v>
      </c>
      <c r="AT11" s="6" t="s">
        <v>22</v>
      </c>
      <c r="AU11" s="4">
        <v>1530</v>
      </c>
    </row>
    <row r="12" spans="1:47" x14ac:dyDescent="0.35">
      <c r="A12" s="35" t="s">
        <v>56</v>
      </c>
      <c r="B12" s="46">
        <v>45050</v>
      </c>
      <c r="C12" s="46"/>
      <c r="D12" s="47"/>
      <c r="E12" s="46">
        <v>45054</v>
      </c>
      <c r="F12" s="35" t="s">
        <v>57</v>
      </c>
      <c r="G12" s="35" t="s">
        <v>58</v>
      </c>
      <c r="H12" s="35" t="str">
        <f>VLOOKUP(G12,ProductMaster!A:C,3,0)</f>
        <v>Electronics</v>
      </c>
      <c r="I12" s="49" t="s">
        <v>28</v>
      </c>
      <c r="J12" s="36">
        <v>249</v>
      </c>
      <c r="K12" s="36">
        <v>1</v>
      </c>
      <c r="L12" s="36">
        <v>249</v>
      </c>
      <c r="M12" s="35" t="s">
        <v>41</v>
      </c>
      <c r="N12" s="35" t="s">
        <v>18</v>
      </c>
      <c r="O12" s="35" t="s">
        <v>30</v>
      </c>
      <c r="Q12" s="64">
        <f>SUM(W3:W7)</f>
        <v>35258</v>
      </c>
      <c r="AQ12" s="6" t="s">
        <v>338</v>
      </c>
      <c r="AR12" s="4">
        <v>6312</v>
      </c>
      <c r="AT12" s="6" t="s">
        <v>314</v>
      </c>
      <c r="AU12" s="4">
        <v>28356</v>
      </c>
    </row>
    <row r="13" spans="1:47" x14ac:dyDescent="0.35">
      <c r="A13" s="35" t="s">
        <v>59</v>
      </c>
      <c r="B13" s="46">
        <v>45132</v>
      </c>
      <c r="C13" s="46"/>
      <c r="D13" s="47"/>
      <c r="E13" s="46"/>
      <c r="F13" s="35" t="s">
        <v>60</v>
      </c>
      <c r="G13" s="35" t="s">
        <v>58</v>
      </c>
      <c r="H13" s="35" t="str">
        <f>VLOOKUP(G13,ProductMaster!A:C,3,0)</f>
        <v>Electronics</v>
      </c>
      <c r="I13" s="49" t="s">
        <v>45</v>
      </c>
      <c r="J13" s="36">
        <v>247</v>
      </c>
      <c r="K13" s="36">
        <v>3</v>
      </c>
      <c r="L13" s="36">
        <v>741</v>
      </c>
      <c r="M13" s="35" t="s">
        <v>41</v>
      </c>
      <c r="N13" s="35" t="s">
        <v>29</v>
      </c>
      <c r="O13" s="35" t="s">
        <v>61</v>
      </c>
      <c r="Q13" s="70" t="s">
        <v>343</v>
      </c>
      <c r="R13" s="70"/>
      <c r="AQ13" s="6" t="s">
        <v>339</v>
      </c>
      <c r="AR13" s="4">
        <v>4467</v>
      </c>
    </row>
    <row r="14" spans="1:47" x14ac:dyDescent="0.35">
      <c r="A14" s="35" t="s">
        <v>62</v>
      </c>
      <c r="B14" s="46">
        <v>44982</v>
      </c>
      <c r="C14" s="46"/>
      <c r="D14" s="47"/>
      <c r="E14" s="46">
        <v>44985</v>
      </c>
      <c r="F14" s="35" t="s">
        <v>63</v>
      </c>
      <c r="G14" s="35" t="s">
        <v>64</v>
      </c>
      <c r="H14" s="35" t="str">
        <f>VLOOKUP(G14,ProductMaster!A:C,3,0)</f>
        <v>Fashion</v>
      </c>
      <c r="I14" s="49" t="s">
        <v>45</v>
      </c>
      <c r="J14" s="36">
        <v>96</v>
      </c>
      <c r="K14" s="36">
        <v>1</v>
      </c>
      <c r="L14" s="36">
        <v>96</v>
      </c>
      <c r="M14" s="35" t="s">
        <v>17</v>
      </c>
      <c r="N14" s="35" t="s">
        <v>18</v>
      </c>
      <c r="O14" s="35" t="s">
        <v>38</v>
      </c>
      <c r="Q14" s="63">
        <f>GETPIVOTDATA("Total Amount",$Z$1,"Delivery Status","Delivered")+GETPIVOTDATA("Total Amount",$Z$1,"Delivery Status","In Transit")</f>
        <v>28297</v>
      </c>
      <c r="AQ14" s="6" t="s">
        <v>314</v>
      </c>
      <c r="AR14" s="4">
        <v>35258</v>
      </c>
    </row>
    <row r="15" spans="1:47" x14ac:dyDescent="0.35">
      <c r="A15" s="35" t="s">
        <v>65</v>
      </c>
      <c r="B15" s="46">
        <v>44981</v>
      </c>
      <c r="C15" s="46"/>
      <c r="D15" s="47"/>
      <c r="E15" s="46">
        <v>44982</v>
      </c>
      <c r="F15" s="35" t="s">
        <v>66</v>
      </c>
      <c r="G15" s="35" t="s">
        <v>67</v>
      </c>
      <c r="H15" s="35" t="str">
        <f>VLOOKUP(G15,ProductMaster!A:C,3,0)</f>
        <v>Electronics</v>
      </c>
      <c r="I15" s="49" t="s">
        <v>50</v>
      </c>
      <c r="J15" s="36">
        <v>74</v>
      </c>
      <c r="K15" s="36">
        <v>5</v>
      </c>
      <c r="L15" s="36">
        <v>370</v>
      </c>
      <c r="M15" s="35" t="s">
        <v>17</v>
      </c>
      <c r="N15" s="35" t="s">
        <v>18</v>
      </c>
      <c r="O15" s="35" t="s">
        <v>38</v>
      </c>
      <c r="Q15" s="64"/>
    </row>
    <row r="16" spans="1:47" x14ac:dyDescent="0.35">
      <c r="A16" s="35" t="s">
        <v>68</v>
      </c>
      <c r="B16" s="46">
        <v>45164</v>
      </c>
      <c r="C16" s="46"/>
      <c r="D16" s="47"/>
      <c r="E16" s="46">
        <v>45171</v>
      </c>
      <c r="F16" s="35" t="s">
        <v>66</v>
      </c>
      <c r="G16" s="35" t="s">
        <v>69</v>
      </c>
      <c r="H16" s="35" t="str">
        <f>VLOOKUP(G16,ProductMaster!A:C,3,0)</f>
        <v>Fashion</v>
      </c>
      <c r="I16" s="49" t="s">
        <v>28</v>
      </c>
      <c r="J16" s="36">
        <v>27</v>
      </c>
      <c r="K16" s="36">
        <v>1</v>
      </c>
      <c r="L16" s="36">
        <v>27</v>
      </c>
      <c r="M16" s="35" t="s">
        <v>24</v>
      </c>
      <c r="N16" s="35" t="s">
        <v>18</v>
      </c>
      <c r="O16" s="35" t="s">
        <v>38</v>
      </c>
      <c r="Q16" s="71" t="s">
        <v>344</v>
      </c>
      <c r="R16" s="71"/>
      <c r="S16" s="4"/>
    </row>
    <row r="17" spans="1:18" x14ac:dyDescent="0.35">
      <c r="A17" s="35" t="s">
        <v>70</v>
      </c>
      <c r="B17" s="46">
        <v>44970</v>
      </c>
      <c r="C17" s="46"/>
      <c r="D17" s="47"/>
      <c r="E17" s="46"/>
      <c r="F17" s="35" t="s">
        <v>71</v>
      </c>
      <c r="G17" s="35" t="s">
        <v>69</v>
      </c>
      <c r="H17" s="35" t="str">
        <f>VLOOKUP(G17,ProductMaster!A:C,3,0)</f>
        <v>Fashion</v>
      </c>
      <c r="I17" s="49" t="s">
        <v>28</v>
      </c>
      <c r="J17" s="36">
        <v>27</v>
      </c>
      <c r="K17" s="36">
        <v>3</v>
      </c>
      <c r="L17" s="36">
        <v>81</v>
      </c>
      <c r="M17" s="35" t="s">
        <v>46</v>
      </c>
      <c r="N17" s="35" t="s">
        <v>29</v>
      </c>
      <c r="O17" s="35" t="s">
        <v>38</v>
      </c>
      <c r="Q17" t="str">
        <f>INDEX(AT2:AT11, MATCH(MAX(AU2:AU11), AU2:AU11, 0))</f>
        <v>PROD001</v>
      </c>
    </row>
    <row r="18" spans="1:18" x14ac:dyDescent="0.35">
      <c r="A18" s="35" t="s">
        <v>72</v>
      </c>
      <c r="B18" s="46">
        <v>45105</v>
      </c>
      <c r="C18" s="46">
        <v>45108</v>
      </c>
      <c r="D18" s="47">
        <v>3</v>
      </c>
      <c r="E18" s="46"/>
      <c r="F18" s="35" t="s">
        <v>60</v>
      </c>
      <c r="G18" s="35" t="s">
        <v>73</v>
      </c>
      <c r="H18" s="35" t="str">
        <f>VLOOKUP(G18,ProductMaster!A:C,3,0)</f>
        <v>Books</v>
      </c>
      <c r="I18" s="49" t="s">
        <v>23</v>
      </c>
      <c r="J18" s="36">
        <v>21</v>
      </c>
      <c r="K18" s="36">
        <v>3</v>
      </c>
      <c r="L18" s="36">
        <v>63</v>
      </c>
      <c r="M18" s="35" t="s">
        <v>24</v>
      </c>
      <c r="N18" s="35" t="s">
        <v>25</v>
      </c>
      <c r="O18" s="35" t="s">
        <v>19</v>
      </c>
    </row>
    <row r="19" spans="1:18" x14ac:dyDescent="0.35">
      <c r="A19" s="35" t="s">
        <v>74</v>
      </c>
      <c r="B19" s="46">
        <v>45258</v>
      </c>
      <c r="C19" s="46"/>
      <c r="D19" s="47"/>
      <c r="E19" s="46"/>
      <c r="F19" s="35" t="s">
        <v>75</v>
      </c>
      <c r="G19" s="35" t="s">
        <v>76</v>
      </c>
      <c r="H19" s="35" t="str">
        <f>VLOOKUP(G19,ProductMaster!A:C,3,0)</f>
        <v>Books</v>
      </c>
      <c r="I19" s="49" t="s">
        <v>50</v>
      </c>
      <c r="J19" s="36">
        <v>70</v>
      </c>
      <c r="K19" s="36">
        <v>5</v>
      </c>
      <c r="L19" s="36">
        <v>350</v>
      </c>
      <c r="M19" s="35" t="s">
        <v>33</v>
      </c>
      <c r="N19" s="35" t="s">
        <v>29</v>
      </c>
      <c r="O19" s="35" t="s">
        <v>38</v>
      </c>
      <c r="Q19" s="72" t="s">
        <v>345</v>
      </c>
      <c r="R19" s="73"/>
    </row>
    <row r="20" spans="1:18" x14ac:dyDescent="0.35">
      <c r="A20" s="35" t="s">
        <v>77</v>
      </c>
      <c r="B20" s="46">
        <v>45163</v>
      </c>
      <c r="C20" s="46"/>
      <c r="D20" s="47"/>
      <c r="E20" s="46"/>
      <c r="F20" s="35" t="s">
        <v>78</v>
      </c>
      <c r="G20" s="35" t="s">
        <v>64</v>
      </c>
      <c r="H20" s="35" t="str">
        <f>VLOOKUP(G20,ProductMaster!A:C,3,0)</f>
        <v>Fashion</v>
      </c>
      <c r="I20" s="49" t="s">
        <v>28</v>
      </c>
      <c r="J20" s="36">
        <v>94</v>
      </c>
      <c r="K20" s="36">
        <v>4</v>
      </c>
      <c r="L20" s="36">
        <v>376</v>
      </c>
      <c r="M20" s="35" t="s">
        <v>24</v>
      </c>
      <c r="N20" s="35" t="s">
        <v>29</v>
      </c>
      <c r="O20" s="35" t="s">
        <v>30</v>
      </c>
      <c r="Q20" s="64">
        <f>GETPIVOTDATA("Total Amount",$Z$1,"Delivery Status","Cancelled")</f>
        <v>6961</v>
      </c>
    </row>
    <row r="21" spans="1:18" x14ac:dyDescent="0.35">
      <c r="A21" s="35" t="s">
        <v>79</v>
      </c>
      <c r="B21" s="46">
        <v>45028</v>
      </c>
      <c r="C21" s="46"/>
      <c r="D21" s="47"/>
      <c r="E21" s="46"/>
      <c r="F21" s="35" t="s">
        <v>80</v>
      </c>
      <c r="G21" s="35" t="s">
        <v>81</v>
      </c>
      <c r="H21" s="35" t="str">
        <f>VLOOKUP(G21,ProductMaster!A:C,3,0)</f>
        <v>Electronics</v>
      </c>
      <c r="I21" s="49" t="s">
        <v>16</v>
      </c>
      <c r="J21" s="36">
        <v>813</v>
      </c>
      <c r="K21" s="36">
        <v>2</v>
      </c>
      <c r="L21" s="36">
        <v>1626</v>
      </c>
      <c r="M21" s="35" t="s">
        <v>24</v>
      </c>
      <c r="N21" s="35" t="s">
        <v>29</v>
      </c>
      <c r="O21" s="35" t="s">
        <v>61</v>
      </c>
    </row>
    <row r="22" spans="1:18" x14ac:dyDescent="0.35">
      <c r="A22" s="35" t="s">
        <v>82</v>
      </c>
      <c r="B22" s="46">
        <v>45201</v>
      </c>
      <c r="C22" s="46"/>
      <c r="D22" s="47"/>
      <c r="E22" s="46"/>
      <c r="F22" s="35" t="s">
        <v>52</v>
      </c>
      <c r="G22" s="35" t="s">
        <v>73</v>
      </c>
      <c r="H22" s="35" t="str">
        <f>VLOOKUP(G22,ProductMaster!A:C,3,0)</f>
        <v>Books</v>
      </c>
      <c r="I22" s="49" t="s">
        <v>45</v>
      </c>
      <c r="J22" s="36">
        <v>21</v>
      </c>
      <c r="K22" s="36">
        <v>4</v>
      </c>
      <c r="L22" s="36">
        <v>84</v>
      </c>
      <c r="M22" s="35" t="s">
        <v>33</v>
      </c>
      <c r="N22" s="35" t="s">
        <v>29</v>
      </c>
      <c r="O22" s="35" t="s">
        <v>38</v>
      </c>
    </row>
    <row r="23" spans="1:18" x14ac:dyDescent="0.35">
      <c r="A23" s="35" t="s">
        <v>83</v>
      </c>
      <c r="B23" s="46">
        <v>45239</v>
      </c>
      <c r="C23" s="46"/>
      <c r="D23" s="47"/>
      <c r="E23" s="46"/>
      <c r="F23" s="35" t="s">
        <v>63</v>
      </c>
      <c r="G23" s="35" t="s">
        <v>15</v>
      </c>
      <c r="H23" s="35" t="str">
        <f>VLOOKUP(G23,ProductMaster!A:C,3,0)</f>
        <v>Home</v>
      </c>
      <c r="I23" s="49" t="s">
        <v>50</v>
      </c>
      <c r="J23" s="36">
        <v>46</v>
      </c>
      <c r="K23" s="36">
        <v>5</v>
      </c>
      <c r="L23" s="36">
        <v>230</v>
      </c>
      <c r="M23" s="35" t="s">
        <v>33</v>
      </c>
      <c r="N23" s="35" t="s">
        <v>29</v>
      </c>
      <c r="O23" s="35" t="s">
        <v>30</v>
      </c>
    </row>
    <row r="24" spans="1:18" x14ac:dyDescent="0.35">
      <c r="A24" s="35" t="s">
        <v>84</v>
      </c>
      <c r="B24" s="46">
        <v>44970</v>
      </c>
      <c r="C24" s="46"/>
      <c r="D24" s="47"/>
      <c r="E24" s="46">
        <v>44971</v>
      </c>
      <c r="F24" s="35" t="s">
        <v>85</v>
      </c>
      <c r="G24" s="35" t="s">
        <v>37</v>
      </c>
      <c r="H24" s="35" t="str">
        <f>VLOOKUP(G24,ProductMaster!A:C,3,0)</f>
        <v>Fashion</v>
      </c>
      <c r="I24" s="49" t="s">
        <v>50</v>
      </c>
      <c r="J24" s="36">
        <v>58</v>
      </c>
      <c r="K24" s="36">
        <v>3</v>
      </c>
      <c r="L24" s="36">
        <v>174</v>
      </c>
      <c r="M24" s="35" t="s">
        <v>41</v>
      </c>
      <c r="N24" s="35" t="s">
        <v>18</v>
      </c>
      <c r="O24" s="35" t="s">
        <v>38</v>
      </c>
    </row>
    <row r="25" spans="1:18" x14ac:dyDescent="0.35">
      <c r="A25" s="35" t="s">
        <v>86</v>
      </c>
      <c r="B25" s="46">
        <v>45232</v>
      </c>
      <c r="C25" s="46">
        <v>45235</v>
      </c>
      <c r="D25" s="47">
        <v>3</v>
      </c>
      <c r="E25" s="46"/>
      <c r="F25" s="35" t="s">
        <v>87</v>
      </c>
      <c r="G25" s="35" t="s">
        <v>64</v>
      </c>
      <c r="H25" s="35" t="str">
        <f>VLOOKUP(G25,ProductMaster!A:C,3,0)</f>
        <v>Fashion</v>
      </c>
      <c r="I25" s="49" t="s">
        <v>50</v>
      </c>
      <c r="J25" s="36">
        <v>96</v>
      </c>
      <c r="K25" s="36">
        <v>5</v>
      </c>
      <c r="L25" s="36">
        <v>480</v>
      </c>
      <c r="M25" s="35" t="s">
        <v>41</v>
      </c>
      <c r="N25" s="35" t="s">
        <v>25</v>
      </c>
      <c r="O25" s="35" t="s">
        <v>38</v>
      </c>
    </row>
    <row r="26" spans="1:18" x14ac:dyDescent="0.35">
      <c r="A26" s="35" t="s">
        <v>88</v>
      </c>
      <c r="B26" s="46">
        <v>45074</v>
      </c>
      <c r="C26" s="46">
        <v>45076</v>
      </c>
      <c r="D26" s="47">
        <v>2</v>
      </c>
      <c r="E26" s="46"/>
      <c r="F26" s="35" t="s">
        <v>89</v>
      </c>
      <c r="G26" s="35" t="s">
        <v>90</v>
      </c>
      <c r="H26" s="35" t="str">
        <f>VLOOKUP(G26,ProductMaster!A:C,3,0)</f>
        <v>Toys</v>
      </c>
      <c r="I26" s="49" t="s">
        <v>28</v>
      </c>
      <c r="J26" s="36">
        <v>43</v>
      </c>
      <c r="K26" s="36">
        <v>1</v>
      </c>
      <c r="L26" s="36">
        <v>43</v>
      </c>
      <c r="M26" s="35" t="s">
        <v>46</v>
      </c>
      <c r="N26" s="35" t="s">
        <v>25</v>
      </c>
      <c r="O26" s="35" t="s">
        <v>38</v>
      </c>
    </row>
    <row r="27" spans="1:18" x14ac:dyDescent="0.35">
      <c r="A27" s="35" t="s">
        <v>91</v>
      </c>
      <c r="B27" s="46">
        <v>45214</v>
      </c>
      <c r="C27" s="46">
        <v>45220</v>
      </c>
      <c r="D27" s="47">
        <v>6</v>
      </c>
      <c r="E27" s="46"/>
      <c r="F27" s="35" t="s">
        <v>36</v>
      </c>
      <c r="G27" s="35" t="s">
        <v>92</v>
      </c>
      <c r="H27" s="35" t="str">
        <f>VLOOKUP(G27,ProductMaster!A:C,3,0)</f>
        <v>Fashion</v>
      </c>
      <c r="I27" s="49" t="s">
        <v>28</v>
      </c>
      <c r="J27" s="36">
        <v>64</v>
      </c>
      <c r="K27" s="36">
        <v>4</v>
      </c>
      <c r="L27" s="36">
        <v>256</v>
      </c>
      <c r="M27" s="35" t="s">
        <v>46</v>
      </c>
      <c r="N27" s="35" t="s">
        <v>25</v>
      </c>
      <c r="O27" s="35" t="s">
        <v>30</v>
      </c>
    </row>
    <row r="28" spans="1:18" x14ac:dyDescent="0.35">
      <c r="A28" s="35" t="s">
        <v>93</v>
      </c>
      <c r="B28" s="46">
        <v>44942</v>
      </c>
      <c r="C28" s="46"/>
      <c r="D28" s="47"/>
      <c r="E28" s="46"/>
      <c r="F28" s="35" t="s">
        <v>94</v>
      </c>
      <c r="G28" s="35" t="s">
        <v>76</v>
      </c>
      <c r="H28" s="35" t="str">
        <f>VLOOKUP(G28,ProductMaster!A:C,3,0)</f>
        <v>Books</v>
      </c>
      <c r="I28" s="49" t="s">
        <v>28</v>
      </c>
      <c r="J28" s="36">
        <v>70</v>
      </c>
      <c r="K28" s="36">
        <v>2</v>
      </c>
      <c r="L28" s="36">
        <v>140</v>
      </c>
      <c r="M28" s="35" t="s">
        <v>41</v>
      </c>
      <c r="N28" s="35" t="s">
        <v>29</v>
      </c>
      <c r="O28" s="35" t="s">
        <v>38</v>
      </c>
    </row>
    <row r="29" spans="1:18" x14ac:dyDescent="0.35">
      <c r="A29" s="35" t="s">
        <v>95</v>
      </c>
      <c r="B29" s="46">
        <v>45208</v>
      </c>
      <c r="C29" s="46"/>
      <c r="D29" s="47"/>
      <c r="E29" s="46"/>
      <c r="F29" s="35" t="s">
        <v>94</v>
      </c>
      <c r="G29" s="35" t="s">
        <v>22</v>
      </c>
      <c r="H29" s="35" t="str">
        <f>VLOOKUP(G29,ProductMaster!A:C,3,0)</f>
        <v>Toys</v>
      </c>
      <c r="I29" s="49" t="s">
        <v>45</v>
      </c>
      <c r="J29" s="36">
        <v>97</v>
      </c>
      <c r="K29" s="36">
        <v>3</v>
      </c>
      <c r="L29" s="36">
        <v>291</v>
      </c>
      <c r="M29" s="35" t="s">
        <v>24</v>
      </c>
      <c r="N29" s="35" t="s">
        <v>29</v>
      </c>
      <c r="O29" s="35" t="s">
        <v>38</v>
      </c>
    </row>
    <row r="30" spans="1:18" x14ac:dyDescent="0.35">
      <c r="A30" s="35" t="s">
        <v>96</v>
      </c>
      <c r="B30" s="46">
        <v>45206</v>
      </c>
      <c r="C30" s="46"/>
      <c r="D30" s="47"/>
      <c r="E30" s="46">
        <v>45209</v>
      </c>
      <c r="F30" s="35" t="s">
        <v>97</v>
      </c>
      <c r="G30" s="35" t="s">
        <v>49</v>
      </c>
      <c r="H30" s="35" t="str">
        <f>VLOOKUP(G30,ProductMaster!A:C,3,0)</f>
        <v>Home</v>
      </c>
      <c r="I30" s="49" t="s">
        <v>23</v>
      </c>
      <c r="J30" s="36">
        <v>37</v>
      </c>
      <c r="K30" s="36">
        <v>3</v>
      </c>
      <c r="L30" s="36">
        <v>111</v>
      </c>
      <c r="M30" s="35" t="s">
        <v>17</v>
      </c>
      <c r="N30" s="35" t="s">
        <v>18</v>
      </c>
      <c r="O30" s="35" t="s">
        <v>19</v>
      </c>
    </row>
    <row r="31" spans="1:18" x14ac:dyDescent="0.35">
      <c r="A31" s="35" t="s">
        <v>98</v>
      </c>
      <c r="B31" s="46">
        <v>44971</v>
      </c>
      <c r="C31" s="46"/>
      <c r="D31" s="47"/>
      <c r="E31" s="46"/>
      <c r="F31" s="35" t="s">
        <v>99</v>
      </c>
      <c r="G31" s="35" t="s">
        <v>76</v>
      </c>
      <c r="H31" s="35" t="str">
        <f>VLOOKUP(G31,ProductMaster!A:C,3,0)</f>
        <v>Books</v>
      </c>
      <c r="I31" s="49" t="s">
        <v>16</v>
      </c>
      <c r="J31" s="36">
        <v>69</v>
      </c>
      <c r="K31" s="36">
        <v>5</v>
      </c>
      <c r="L31" s="36">
        <v>345</v>
      </c>
      <c r="M31" s="35" t="s">
        <v>41</v>
      </c>
      <c r="N31" s="35" t="s">
        <v>29</v>
      </c>
      <c r="O31" s="35" t="s">
        <v>38</v>
      </c>
    </row>
    <row r="32" spans="1:18" x14ac:dyDescent="0.35">
      <c r="A32" s="35" t="s">
        <v>100</v>
      </c>
      <c r="B32" s="46">
        <v>45011</v>
      </c>
      <c r="C32" s="46"/>
      <c r="D32" s="47"/>
      <c r="E32" s="46"/>
      <c r="F32" s="35" t="s">
        <v>101</v>
      </c>
      <c r="G32" s="35" t="s">
        <v>90</v>
      </c>
      <c r="H32" s="35" t="str">
        <f>VLOOKUP(G32,ProductMaster!A:C,3,0)</f>
        <v>Toys</v>
      </c>
      <c r="I32" s="49" t="s">
        <v>16</v>
      </c>
      <c r="J32" s="36">
        <v>42</v>
      </c>
      <c r="K32" s="36">
        <v>5</v>
      </c>
      <c r="L32" s="36">
        <v>210</v>
      </c>
      <c r="M32" s="35" t="s">
        <v>41</v>
      </c>
      <c r="N32" s="35" t="s">
        <v>29</v>
      </c>
      <c r="O32" s="35" t="s">
        <v>34</v>
      </c>
    </row>
    <row r="33" spans="1:15" x14ac:dyDescent="0.35">
      <c r="A33" s="35" t="s">
        <v>102</v>
      </c>
      <c r="B33" s="46">
        <v>45092</v>
      </c>
      <c r="C33" s="46"/>
      <c r="D33" s="47"/>
      <c r="E33" s="46">
        <v>45099</v>
      </c>
      <c r="F33" s="35" t="s">
        <v>103</v>
      </c>
      <c r="G33" s="35" t="s">
        <v>104</v>
      </c>
      <c r="H33" s="35" t="str">
        <f>VLOOKUP(G33,ProductMaster!A:C,3,0)</f>
        <v>Books</v>
      </c>
      <c r="I33" s="49" t="s">
        <v>23</v>
      </c>
      <c r="J33" s="36">
        <v>11</v>
      </c>
      <c r="K33" s="36">
        <v>5</v>
      </c>
      <c r="L33" s="36">
        <v>55</v>
      </c>
      <c r="M33" s="35" t="s">
        <v>46</v>
      </c>
      <c r="N33" s="35" t="s">
        <v>18</v>
      </c>
      <c r="O33" s="35" t="s">
        <v>61</v>
      </c>
    </row>
    <row r="34" spans="1:15" x14ac:dyDescent="0.35">
      <c r="A34" s="35" t="s">
        <v>105</v>
      </c>
      <c r="B34" s="46">
        <v>45068</v>
      </c>
      <c r="C34" s="46">
        <v>45069</v>
      </c>
      <c r="D34" s="47">
        <v>1</v>
      </c>
      <c r="E34" s="46"/>
      <c r="F34" s="35" t="s">
        <v>85</v>
      </c>
      <c r="G34" s="35" t="s">
        <v>69</v>
      </c>
      <c r="H34" s="35" t="str">
        <f>VLOOKUP(G34,ProductMaster!A:C,3,0)</f>
        <v>Fashion</v>
      </c>
      <c r="I34" s="49" t="s">
        <v>28</v>
      </c>
      <c r="J34" s="36">
        <v>27</v>
      </c>
      <c r="K34" s="36">
        <v>2</v>
      </c>
      <c r="L34" s="36">
        <v>54</v>
      </c>
      <c r="M34" s="35" t="s">
        <v>17</v>
      </c>
      <c r="N34" s="35" t="s">
        <v>25</v>
      </c>
      <c r="O34" s="35" t="s">
        <v>30</v>
      </c>
    </row>
    <row r="35" spans="1:15" x14ac:dyDescent="0.35">
      <c r="A35" s="35" t="s">
        <v>106</v>
      </c>
      <c r="B35" s="46">
        <v>45250</v>
      </c>
      <c r="C35" s="46"/>
      <c r="D35" s="47"/>
      <c r="E35" s="46"/>
      <c r="F35" s="35" t="s">
        <v>80</v>
      </c>
      <c r="G35" s="35" t="s">
        <v>73</v>
      </c>
      <c r="H35" s="35" t="str">
        <f>VLOOKUP(G35,ProductMaster!A:C,3,0)</f>
        <v>Books</v>
      </c>
      <c r="I35" s="49" t="s">
        <v>28</v>
      </c>
      <c r="J35" s="36">
        <v>21</v>
      </c>
      <c r="K35" s="36">
        <v>1</v>
      </c>
      <c r="L35" s="36">
        <v>21</v>
      </c>
      <c r="M35" s="35" t="s">
        <v>41</v>
      </c>
      <c r="N35" s="35" t="s">
        <v>29</v>
      </c>
      <c r="O35" s="35" t="s">
        <v>19</v>
      </c>
    </row>
    <row r="36" spans="1:15" x14ac:dyDescent="0.35">
      <c r="A36" s="35" t="s">
        <v>107</v>
      </c>
      <c r="B36" s="46">
        <v>45282</v>
      </c>
      <c r="C36" s="46">
        <v>45286</v>
      </c>
      <c r="D36" s="47">
        <v>4</v>
      </c>
      <c r="E36" s="46"/>
      <c r="F36" s="35" t="s">
        <v>108</v>
      </c>
      <c r="G36" s="35" t="s">
        <v>109</v>
      </c>
      <c r="H36" s="35" t="str">
        <f>VLOOKUP(G36,ProductMaster!A:C,3,0)</f>
        <v>Electronics</v>
      </c>
      <c r="I36" s="49" t="s">
        <v>28</v>
      </c>
      <c r="J36" s="36">
        <v>172</v>
      </c>
      <c r="K36" s="36">
        <v>1</v>
      </c>
      <c r="L36" s="36">
        <v>172</v>
      </c>
      <c r="M36" s="35" t="s">
        <v>33</v>
      </c>
      <c r="N36" s="35" t="s">
        <v>25</v>
      </c>
      <c r="O36" s="35" t="s">
        <v>30</v>
      </c>
    </row>
    <row r="37" spans="1:15" x14ac:dyDescent="0.35">
      <c r="A37" s="35" t="s">
        <v>110</v>
      </c>
      <c r="B37" s="46">
        <v>45130</v>
      </c>
      <c r="C37" s="46"/>
      <c r="D37" s="47"/>
      <c r="E37" s="46"/>
      <c r="F37" s="35" t="s">
        <v>101</v>
      </c>
      <c r="G37" s="35" t="s">
        <v>111</v>
      </c>
      <c r="H37" s="35" t="str">
        <f>VLOOKUP(G37,ProductMaster!A:C,3,0)</f>
        <v>Home</v>
      </c>
      <c r="I37" s="49" t="s">
        <v>16</v>
      </c>
      <c r="J37" s="36">
        <v>212</v>
      </c>
      <c r="K37" s="36">
        <v>3</v>
      </c>
      <c r="L37" s="36">
        <v>636</v>
      </c>
      <c r="M37" s="35" t="s">
        <v>41</v>
      </c>
      <c r="N37" s="35" t="s">
        <v>29</v>
      </c>
      <c r="O37" s="35" t="s">
        <v>34</v>
      </c>
    </row>
    <row r="38" spans="1:15" x14ac:dyDescent="0.35">
      <c r="A38" s="35" t="s">
        <v>112</v>
      </c>
      <c r="B38" s="46">
        <v>45216</v>
      </c>
      <c r="C38" s="46">
        <v>45221</v>
      </c>
      <c r="D38" s="47">
        <v>5</v>
      </c>
      <c r="E38" s="46"/>
      <c r="F38" s="35" t="s">
        <v>32</v>
      </c>
      <c r="G38" s="35" t="s">
        <v>90</v>
      </c>
      <c r="H38" s="35" t="str">
        <f>VLOOKUP(G38,ProductMaster!A:C,3,0)</f>
        <v>Toys</v>
      </c>
      <c r="I38" s="49" t="s">
        <v>23</v>
      </c>
      <c r="J38" s="36">
        <v>41</v>
      </c>
      <c r="K38" s="36">
        <v>4</v>
      </c>
      <c r="L38" s="36">
        <v>164</v>
      </c>
      <c r="M38" s="35" t="s">
        <v>24</v>
      </c>
      <c r="N38" s="35" t="s">
        <v>25</v>
      </c>
      <c r="O38" s="35" t="s">
        <v>38</v>
      </c>
    </row>
    <row r="39" spans="1:15" x14ac:dyDescent="0.35">
      <c r="A39" s="35" t="s">
        <v>113</v>
      </c>
      <c r="B39" s="46">
        <v>45160</v>
      </c>
      <c r="C39" s="46"/>
      <c r="D39" s="47"/>
      <c r="E39" s="46">
        <v>45162</v>
      </c>
      <c r="F39" s="35" t="s">
        <v>87</v>
      </c>
      <c r="G39" s="35" t="s">
        <v>114</v>
      </c>
      <c r="H39" s="35" t="str">
        <f>VLOOKUP(G39,ProductMaster!A:C,3,0)</f>
        <v>Toys</v>
      </c>
      <c r="I39" s="49" t="s">
        <v>16</v>
      </c>
      <c r="J39" s="36">
        <v>32</v>
      </c>
      <c r="K39" s="36">
        <v>2</v>
      </c>
      <c r="L39" s="36">
        <v>64</v>
      </c>
      <c r="M39" s="35" t="s">
        <v>46</v>
      </c>
      <c r="N39" s="35" t="s">
        <v>18</v>
      </c>
      <c r="O39" s="35" t="s">
        <v>61</v>
      </c>
    </row>
    <row r="40" spans="1:15" x14ac:dyDescent="0.35">
      <c r="A40" s="35" t="s">
        <v>115</v>
      </c>
      <c r="B40" s="46">
        <v>45262</v>
      </c>
      <c r="C40" s="46"/>
      <c r="D40" s="47"/>
      <c r="E40" s="46"/>
      <c r="F40" s="35" t="s">
        <v>116</v>
      </c>
      <c r="G40" s="35" t="s">
        <v>92</v>
      </c>
      <c r="H40" s="35" t="str">
        <f>VLOOKUP(G40,ProductMaster!A:C,3,0)</f>
        <v>Fashion</v>
      </c>
      <c r="I40" s="49" t="s">
        <v>23</v>
      </c>
      <c r="J40" s="36">
        <v>66</v>
      </c>
      <c r="K40" s="36">
        <v>2</v>
      </c>
      <c r="L40" s="36">
        <v>132</v>
      </c>
      <c r="M40" s="35" t="s">
        <v>17</v>
      </c>
      <c r="N40" s="35" t="s">
        <v>29</v>
      </c>
      <c r="O40" s="35" t="s">
        <v>19</v>
      </c>
    </row>
    <row r="41" spans="1:15" x14ac:dyDescent="0.35">
      <c r="A41" s="35" t="s">
        <v>117</v>
      </c>
      <c r="B41" s="46">
        <v>45285</v>
      </c>
      <c r="C41" s="46"/>
      <c r="D41" s="47"/>
      <c r="E41" s="46"/>
      <c r="F41" s="35" t="s">
        <v>118</v>
      </c>
      <c r="G41" s="35" t="s">
        <v>119</v>
      </c>
      <c r="H41" s="35" t="str">
        <f>VLOOKUP(G41,ProductMaster!A:C,3,0)</f>
        <v>Toys</v>
      </c>
      <c r="I41" s="49" t="s">
        <v>23</v>
      </c>
      <c r="J41" s="36">
        <v>62</v>
      </c>
      <c r="K41" s="36">
        <v>4</v>
      </c>
      <c r="L41" s="36">
        <v>248</v>
      </c>
      <c r="M41" s="35" t="s">
        <v>46</v>
      </c>
      <c r="N41" s="35" t="s">
        <v>29</v>
      </c>
      <c r="O41" s="35" t="s">
        <v>34</v>
      </c>
    </row>
    <row r="42" spans="1:15" x14ac:dyDescent="0.35">
      <c r="A42" s="35" t="s">
        <v>120</v>
      </c>
      <c r="B42" s="46">
        <v>45192</v>
      </c>
      <c r="C42" s="46">
        <v>45199</v>
      </c>
      <c r="D42" s="47">
        <v>7</v>
      </c>
      <c r="E42" s="46"/>
      <c r="F42" s="35" t="s">
        <v>121</v>
      </c>
      <c r="G42" s="35" t="s">
        <v>109</v>
      </c>
      <c r="H42" s="35" t="str">
        <f>VLOOKUP(G42,ProductMaster!A:C,3,0)</f>
        <v>Electronics</v>
      </c>
      <c r="I42" s="49" t="s">
        <v>50</v>
      </c>
      <c r="J42" s="36">
        <v>173</v>
      </c>
      <c r="K42" s="36">
        <v>4</v>
      </c>
      <c r="L42" s="36">
        <v>692</v>
      </c>
      <c r="M42" s="35" t="s">
        <v>17</v>
      </c>
      <c r="N42" s="35" t="s">
        <v>25</v>
      </c>
      <c r="O42" s="35" t="s">
        <v>34</v>
      </c>
    </row>
    <row r="43" spans="1:15" x14ac:dyDescent="0.35">
      <c r="A43" s="35" t="s">
        <v>122</v>
      </c>
      <c r="B43" s="46">
        <v>45123</v>
      </c>
      <c r="C43" s="46">
        <v>45125</v>
      </c>
      <c r="D43" s="47">
        <v>2</v>
      </c>
      <c r="E43" s="46"/>
      <c r="F43" s="35" t="s">
        <v>97</v>
      </c>
      <c r="G43" s="35" t="s">
        <v>119</v>
      </c>
      <c r="H43" s="35" t="str">
        <f>VLOOKUP(G43,ProductMaster!A:C,3,0)</f>
        <v>Toys</v>
      </c>
      <c r="I43" s="49" t="s">
        <v>50</v>
      </c>
      <c r="J43" s="36">
        <v>63</v>
      </c>
      <c r="K43" s="36">
        <v>3</v>
      </c>
      <c r="L43" s="36">
        <v>189</v>
      </c>
      <c r="M43" s="35" t="s">
        <v>17</v>
      </c>
      <c r="N43" s="35" t="s">
        <v>25</v>
      </c>
      <c r="O43" s="35" t="s">
        <v>34</v>
      </c>
    </row>
    <row r="44" spans="1:15" x14ac:dyDescent="0.35">
      <c r="A44" s="35" t="s">
        <v>123</v>
      </c>
      <c r="B44" s="46">
        <v>44962</v>
      </c>
      <c r="C44" s="46"/>
      <c r="D44" s="47"/>
      <c r="E44" s="46">
        <v>44968</v>
      </c>
      <c r="F44" s="35" t="s">
        <v>89</v>
      </c>
      <c r="G44" s="35" t="s">
        <v>49</v>
      </c>
      <c r="H44" s="35" t="str">
        <f>VLOOKUP(G44,ProductMaster!A:C,3,0)</f>
        <v>Home</v>
      </c>
      <c r="I44" s="49" t="s">
        <v>50</v>
      </c>
      <c r="J44" s="36">
        <v>36</v>
      </c>
      <c r="K44" s="36">
        <v>3</v>
      </c>
      <c r="L44" s="36">
        <v>108</v>
      </c>
      <c r="M44" s="35" t="s">
        <v>46</v>
      </c>
      <c r="N44" s="35" t="s">
        <v>18</v>
      </c>
      <c r="O44" s="35" t="s">
        <v>30</v>
      </c>
    </row>
    <row r="45" spans="1:15" x14ac:dyDescent="0.35">
      <c r="A45" s="35" t="s">
        <v>124</v>
      </c>
      <c r="B45" s="46">
        <v>45278</v>
      </c>
      <c r="C45" s="46"/>
      <c r="D45" s="47"/>
      <c r="E45" s="46">
        <v>45283</v>
      </c>
      <c r="F45" s="35" t="s">
        <v>118</v>
      </c>
      <c r="G45" s="35" t="s">
        <v>119</v>
      </c>
      <c r="H45" s="35" t="str">
        <f>VLOOKUP(G45,ProductMaster!A:C,3,0)</f>
        <v>Toys</v>
      </c>
      <c r="I45" s="49" t="s">
        <v>45</v>
      </c>
      <c r="J45" s="36">
        <v>62</v>
      </c>
      <c r="K45" s="36">
        <v>1</v>
      </c>
      <c r="L45" s="36">
        <v>62</v>
      </c>
      <c r="M45" s="35" t="s">
        <v>17</v>
      </c>
      <c r="N45" s="35" t="s">
        <v>18</v>
      </c>
      <c r="O45" s="35" t="s">
        <v>38</v>
      </c>
    </row>
    <row r="46" spans="1:15" x14ac:dyDescent="0.35">
      <c r="A46" s="35" t="s">
        <v>125</v>
      </c>
      <c r="B46" s="46">
        <v>45088</v>
      </c>
      <c r="C46" s="46"/>
      <c r="D46" s="47"/>
      <c r="E46" s="46">
        <v>45091</v>
      </c>
      <c r="F46" s="35" t="s">
        <v>43</v>
      </c>
      <c r="G46" s="35" t="s">
        <v>55</v>
      </c>
      <c r="H46" s="35" t="str">
        <f>VLOOKUP(G46,ProductMaster!A:C,3,0)</f>
        <v>Home</v>
      </c>
      <c r="I46" s="49" t="s">
        <v>45</v>
      </c>
      <c r="J46" s="36">
        <v>137</v>
      </c>
      <c r="K46" s="36">
        <v>5</v>
      </c>
      <c r="L46" s="36">
        <v>685</v>
      </c>
      <c r="M46" s="35" t="s">
        <v>41</v>
      </c>
      <c r="N46" s="35" t="s">
        <v>18</v>
      </c>
      <c r="O46" s="35" t="s">
        <v>61</v>
      </c>
    </row>
    <row r="47" spans="1:15" x14ac:dyDescent="0.35">
      <c r="A47" s="35" t="s">
        <v>126</v>
      </c>
      <c r="B47" s="46">
        <v>45264</v>
      </c>
      <c r="C47" s="46">
        <v>45268</v>
      </c>
      <c r="D47" s="47">
        <v>4</v>
      </c>
      <c r="E47" s="46"/>
      <c r="F47" s="35" t="s">
        <v>127</v>
      </c>
      <c r="G47" s="35" t="s">
        <v>67</v>
      </c>
      <c r="H47" s="35" t="str">
        <f>VLOOKUP(G47,ProductMaster!A:C,3,0)</f>
        <v>Electronics</v>
      </c>
      <c r="I47" s="49" t="s">
        <v>16</v>
      </c>
      <c r="J47" s="36">
        <v>73</v>
      </c>
      <c r="K47" s="36">
        <v>4</v>
      </c>
      <c r="L47" s="36">
        <v>292</v>
      </c>
      <c r="M47" s="35" t="s">
        <v>24</v>
      </c>
      <c r="N47" s="35" t="s">
        <v>25</v>
      </c>
      <c r="O47" s="35" t="s">
        <v>38</v>
      </c>
    </row>
    <row r="48" spans="1:15" x14ac:dyDescent="0.35">
      <c r="A48" s="35" t="s">
        <v>128</v>
      </c>
      <c r="B48" s="46">
        <v>45124</v>
      </c>
      <c r="C48" s="46">
        <v>45126</v>
      </c>
      <c r="D48" s="47">
        <v>2</v>
      </c>
      <c r="E48" s="46"/>
      <c r="F48" s="35" t="s">
        <v>78</v>
      </c>
      <c r="G48" s="35" t="s">
        <v>44</v>
      </c>
      <c r="H48" s="35" t="str">
        <f>VLOOKUP(G48,ProductMaster!A:C,3,0)</f>
        <v>Electronics</v>
      </c>
      <c r="I48" s="49" t="s">
        <v>16</v>
      </c>
      <c r="J48" s="36">
        <v>104</v>
      </c>
      <c r="K48" s="36">
        <v>1</v>
      </c>
      <c r="L48" s="36">
        <v>104</v>
      </c>
      <c r="M48" s="35" t="s">
        <v>33</v>
      </c>
      <c r="N48" s="35" t="s">
        <v>25</v>
      </c>
      <c r="O48" s="35" t="s">
        <v>38</v>
      </c>
    </row>
    <row r="49" spans="1:15" x14ac:dyDescent="0.35">
      <c r="A49" s="35" t="s">
        <v>129</v>
      </c>
      <c r="B49" s="46">
        <v>45218</v>
      </c>
      <c r="C49" s="46">
        <v>45223</v>
      </c>
      <c r="D49" s="47">
        <v>5</v>
      </c>
      <c r="E49" s="46"/>
      <c r="F49" s="35" t="s">
        <v>32</v>
      </c>
      <c r="G49" s="35" t="s">
        <v>64</v>
      </c>
      <c r="H49" s="35" t="str">
        <f>VLOOKUP(G49,ProductMaster!A:C,3,0)</f>
        <v>Fashion</v>
      </c>
      <c r="I49" s="49" t="s">
        <v>23</v>
      </c>
      <c r="J49" s="36">
        <v>97</v>
      </c>
      <c r="K49" s="36">
        <v>1</v>
      </c>
      <c r="L49" s="36">
        <v>97</v>
      </c>
      <c r="M49" s="35" t="s">
        <v>41</v>
      </c>
      <c r="N49" s="35" t="s">
        <v>25</v>
      </c>
      <c r="O49" s="35" t="s">
        <v>61</v>
      </c>
    </row>
    <row r="50" spans="1:15" x14ac:dyDescent="0.35">
      <c r="A50" s="35" t="s">
        <v>130</v>
      </c>
      <c r="B50" s="46">
        <v>45061</v>
      </c>
      <c r="C50" s="46"/>
      <c r="D50" s="47"/>
      <c r="E50" s="46"/>
      <c r="F50" s="35" t="s">
        <v>131</v>
      </c>
      <c r="G50" s="35" t="s">
        <v>67</v>
      </c>
      <c r="H50" s="35" t="str">
        <f>VLOOKUP(G50,ProductMaster!A:C,3,0)</f>
        <v>Electronics</v>
      </c>
      <c r="I50" s="49" t="s">
        <v>28</v>
      </c>
      <c r="J50" s="36">
        <v>73</v>
      </c>
      <c r="K50" s="36">
        <v>5</v>
      </c>
      <c r="L50" s="36">
        <v>365</v>
      </c>
      <c r="M50" s="35" t="s">
        <v>17</v>
      </c>
      <c r="N50" s="35" t="s">
        <v>29</v>
      </c>
      <c r="O50" s="35" t="s">
        <v>38</v>
      </c>
    </row>
    <row r="51" spans="1:15" x14ac:dyDescent="0.35">
      <c r="A51" s="35" t="s">
        <v>132</v>
      </c>
      <c r="B51" s="46">
        <v>44969</v>
      </c>
      <c r="C51" s="46">
        <v>44976</v>
      </c>
      <c r="D51" s="47">
        <v>7</v>
      </c>
      <c r="E51" s="46"/>
      <c r="F51" s="35" t="s">
        <v>89</v>
      </c>
      <c r="G51" s="35" t="s">
        <v>69</v>
      </c>
      <c r="H51" s="35" t="str">
        <f>VLOOKUP(G51,ProductMaster!A:C,3,0)</f>
        <v>Fashion</v>
      </c>
      <c r="I51" s="49" t="s">
        <v>23</v>
      </c>
      <c r="J51" s="36">
        <v>27</v>
      </c>
      <c r="K51" s="36">
        <v>3</v>
      </c>
      <c r="L51" s="36">
        <v>81</v>
      </c>
      <c r="M51" s="35" t="s">
        <v>41</v>
      </c>
      <c r="N51" s="35" t="s">
        <v>25</v>
      </c>
      <c r="O51" s="35" t="s">
        <v>34</v>
      </c>
    </row>
    <row r="52" spans="1:15" x14ac:dyDescent="0.35">
      <c r="A52" s="35" t="s">
        <v>133</v>
      </c>
      <c r="B52" s="46">
        <v>45201</v>
      </c>
      <c r="C52" s="46"/>
      <c r="D52" s="47"/>
      <c r="E52" s="46"/>
      <c r="F52" s="35" t="s">
        <v>78</v>
      </c>
      <c r="G52" s="35" t="s">
        <v>49</v>
      </c>
      <c r="H52" s="35" t="str">
        <f>VLOOKUP(G52,ProductMaster!A:C,3,0)</f>
        <v>Home</v>
      </c>
      <c r="I52" s="49" t="s">
        <v>16</v>
      </c>
      <c r="J52" s="36">
        <v>37</v>
      </c>
      <c r="K52" s="36">
        <v>1</v>
      </c>
      <c r="L52" s="36">
        <v>37</v>
      </c>
      <c r="M52" s="35" t="s">
        <v>17</v>
      </c>
      <c r="N52" s="35" t="s">
        <v>29</v>
      </c>
      <c r="O52" s="35" t="s">
        <v>34</v>
      </c>
    </row>
    <row r="53" spans="1:15" x14ac:dyDescent="0.35">
      <c r="A53" s="35" t="s">
        <v>134</v>
      </c>
      <c r="B53" s="46">
        <v>44956</v>
      </c>
      <c r="C53" s="46">
        <v>44958</v>
      </c>
      <c r="D53" s="47">
        <v>2</v>
      </c>
      <c r="E53" s="46"/>
      <c r="F53" s="35" t="s">
        <v>99</v>
      </c>
      <c r="G53" s="35" t="s">
        <v>73</v>
      </c>
      <c r="H53" s="35" t="str">
        <f>VLOOKUP(G53,ProductMaster!A:C,3,0)</f>
        <v>Books</v>
      </c>
      <c r="I53" s="49" t="s">
        <v>16</v>
      </c>
      <c r="J53" s="36">
        <v>22</v>
      </c>
      <c r="K53" s="36">
        <v>1</v>
      </c>
      <c r="L53" s="36">
        <v>22</v>
      </c>
      <c r="M53" s="35" t="s">
        <v>46</v>
      </c>
      <c r="N53" s="35" t="s">
        <v>25</v>
      </c>
      <c r="O53" s="35" t="s">
        <v>61</v>
      </c>
    </row>
    <row r="54" spans="1:15" x14ac:dyDescent="0.35">
      <c r="A54" s="35" t="s">
        <v>135</v>
      </c>
      <c r="B54" s="46">
        <v>45289</v>
      </c>
      <c r="C54" s="46">
        <v>45292</v>
      </c>
      <c r="D54" s="47">
        <v>3</v>
      </c>
      <c r="E54" s="46"/>
      <c r="F54" s="35" t="s">
        <v>75</v>
      </c>
      <c r="G54" s="35" t="s">
        <v>111</v>
      </c>
      <c r="H54" s="35" t="str">
        <f>VLOOKUP(G54,ProductMaster!A:C,3,0)</f>
        <v>Home</v>
      </c>
      <c r="I54" s="49" t="s">
        <v>45</v>
      </c>
      <c r="J54" s="36">
        <v>218</v>
      </c>
      <c r="K54" s="36">
        <v>5</v>
      </c>
      <c r="L54" s="36">
        <v>1090</v>
      </c>
      <c r="M54" s="35" t="s">
        <v>33</v>
      </c>
      <c r="N54" s="35" t="s">
        <v>25</v>
      </c>
      <c r="O54" s="35" t="s">
        <v>19</v>
      </c>
    </row>
    <row r="55" spans="1:15" x14ac:dyDescent="0.35">
      <c r="A55" s="35" t="s">
        <v>136</v>
      </c>
      <c r="B55" s="46">
        <v>44991</v>
      </c>
      <c r="C55" s="46"/>
      <c r="D55" s="47"/>
      <c r="E55" s="46">
        <v>44998</v>
      </c>
      <c r="F55" s="35" t="s">
        <v>94</v>
      </c>
      <c r="G55" s="35" t="s">
        <v>119</v>
      </c>
      <c r="H55" s="35" t="str">
        <f>VLOOKUP(G55,ProductMaster!A:C,3,0)</f>
        <v>Toys</v>
      </c>
      <c r="I55" s="49" t="s">
        <v>16</v>
      </c>
      <c r="J55" s="36">
        <v>64</v>
      </c>
      <c r="K55" s="36">
        <v>1</v>
      </c>
      <c r="L55" s="36">
        <v>64</v>
      </c>
      <c r="M55" s="35" t="s">
        <v>17</v>
      </c>
      <c r="N55" s="35" t="s">
        <v>18</v>
      </c>
      <c r="O55" s="35" t="s">
        <v>30</v>
      </c>
    </row>
    <row r="56" spans="1:15" x14ac:dyDescent="0.35">
      <c r="A56" s="35" t="s">
        <v>137</v>
      </c>
      <c r="B56" s="46">
        <v>44959</v>
      </c>
      <c r="C56" s="46">
        <v>44963</v>
      </c>
      <c r="D56" s="47">
        <v>4</v>
      </c>
      <c r="E56" s="46"/>
      <c r="F56" s="35" t="s">
        <v>103</v>
      </c>
      <c r="G56" s="35" t="s">
        <v>49</v>
      </c>
      <c r="H56" s="35" t="str">
        <f>VLOOKUP(G56,ProductMaster!A:C,3,0)</f>
        <v>Home</v>
      </c>
      <c r="I56" s="49" t="s">
        <v>45</v>
      </c>
      <c r="J56" s="36">
        <v>36</v>
      </c>
      <c r="K56" s="36">
        <v>4</v>
      </c>
      <c r="L56" s="36">
        <v>144</v>
      </c>
      <c r="M56" s="35" t="s">
        <v>33</v>
      </c>
      <c r="N56" s="35" t="s">
        <v>25</v>
      </c>
      <c r="O56" s="35" t="s">
        <v>38</v>
      </c>
    </row>
    <row r="57" spans="1:15" x14ac:dyDescent="0.35">
      <c r="A57" s="35" t="s">
        <v>138</v>
      </c>
      <c r="B57" s="46">
        <v>45217</v>
      </c>
      <c r="C57" s="46">
        <v>45220</v>
      </c>
      <c r="D57" s="47">
        <v>3</v>
      </c>
      <c r="E57" s="46"/>
      <c r="F57" s="35" t="s">
        <v>139</v>
      </c>
      <c r="G57" s="35" t="s">
        <v>119</v>
      </c>
      <c r="H57" s="35" t="str">
        <f>VLOOKUP(G57,ProductMaster!A:C,3,0)</f>
        <v>Toys</v>
      </c>
      <c r="I57" s="49" t="s">
        <v>50</v>
      </c>
      <c r="J57" s="36">
        <v>65</v>
      </c>
      <c r="K57" s="36">
        <v>1</v>
      </c>
      <c r="L57" s="36">
        <v>65</v>
      </c>
      <c r="M57" s="35" t="s">
        <v>41</v>
      </c>
      <c r="N57" s="35" t="s">
        <v>25</v>
      </c>
      <c r="O57" s="35" t="s">
        <v>61</v>
      </c>
    </row>
    <row r="58" spans="1:15" x14ac:dyDescent="0.35">
      <c r="A58" s="35" t="s">
        <v>140</v>
      </c>
      <c r="B58" s="46">
        <v>44933</v>
      </c>
      <c r="C58" s="46">
        <v>44935</v>
      </c>
      <c r="D58" s="47">
        <v>2</v>
      </c>
      <c r="E58" s="46"/>
      <c r="F58" s="35" t="s">
        <v>80</v>
      </c>
      <c r="G58" s="35" t="s">
        <v>69</v>
      </c>
      <c r="H58" s="35" t="str">
        <f>VLOOKUP(G58,ProductMaster!A:C,3,0)</f>
        <v>Fashion</v>
      </c>
      <c r="I58" s="49" t="s">
        <v>45</v>
      </c>
      <c r="J58" s="36">
        <v>26</v>
      </c>
      <c r="K58" s="36">
        <v>1</v>
      </c>
      <c r="L58" s="36">
        <v>26</v>
      </c>
      <c r="M58" s="35" t="s">
        <v>17</v>
      </c>
      <c r="N58" s="35" t="s">
        <v>25</v>
      </c>
      <c r="O58" s="35" t="s">
        <v>19</v>
      </c>
    </row>
    <row r="59" spans="1:15" x14ac:dyDescent="0.35">
      <c r="A59" s="35" t="s">
        <v>141</v>
      </c>
      <c r="B59" s="46">
        <v>45054</v>
      </c>
      <c r="C59" s="46"/>
      <c r="D59" s="47"/>
      <c r="E59" s="46"/>
      <c r="F59" s="35" t="s">
        <v>14</v>
      </c>
      <c r="G59" s="35" t="s">
        <v>104</v>
      </c>
      <c r="H59" s="35" t="str">
        <f>VLOOKUP(G59,ProductMaster!A:C,3,0)</f>
        <v>Books</v>
      </c>
      <c r="I59" s="49" t="s">
        <v>16</v>
      </c>
      <c r="J59" s="36">
        <v>11</v>
      </c>
      <c r="K59" s="36">
        <v>5</v>
      </c>
      <c r="L59" s="36">
        <v>55</v>
      </c>
      <c r="M59" s="35" t="s">
        <v>24</v>
      </c>
      <c r="N59" s="35" t="s">
        <v>29</v>
      </c>
      <c r="O59" s="35" t="s">
        <v>61</v>
      </c>
    </row>
    <row r="60" spans="1:15" x14ac:dyDescent="0.35">
      <c r="A60" s="35" t="s">
        <v>142</v>
      </c>
      <c r="B60" s="46">
        <v>45018</v>
      </c>
      <c r="C60" s="46"/>
      <c r="D60" s="47"/>
      <c r="E60" s="46">
        <v>45021</v>
      </c>
      <c r="F60" s="35" t="s">
        <v>143</v>
      </c>
      <c r="G60" s="35" t="s">
        <v>27</v>
      </c>
      <c r="H60" s="35" t="str">
        <f>VLOOKUP(G60,ProductMaster!A:C,3,0)</f>
        <v>Home</v>
      </c>
      <c r="I60" s="49" t="s">
        <v>16</v>
      </c>
      <c r="J60" s="36">
        <v>195</v>
      </c>
      <c r="K60" s="36">
        <v>4</v>
      </c>
      <c r="L60" s="36">
        <v>780</v>
      </c>
      <c r="M60" s="35" t="s">
        <v>33</v>
      </c>
      <c r="N60" s="35" t="s">
        <v>18</v>
      </c>
      <c r="O60" s="35" t="s">
        <v>61</v>
      </c>
    </row>
    <row r="61" spans="1:15" x14ac:dyDescent="0.35">
      <c r="A61" s="35" t="s">
        <v>144</v>
      </c>
      <c r="B61" s="46">
        <v>45210</v>
      </c>
      <c r="C61" s="46"/>
      <c r="D61" s="47"/>
      <c r="E61" s="46">
        <v>45211</v>
      </c>
      <c r="F61" s="35" t="s">
        <v>48</v>
      </c>
      <c r="G61" s="35" t="s">
        <v>53</v>
      </c>
      <c r="H61" s="35" t="str">
        <f>VLOOKUP(G61,ProductMaster!A:C,3,0)</f>
        <v>Fashion</v>
      </c>
      <c r="I61" s="49" t="s">
        <v>50</v>
      </c>
      <c r="J61" s="36">
        <v>44</v>
      </c>
      <c r="K61" s="36">
        <v>5</v>
      </c>
      <c r="L61" s="36">
        <v>220</v>
      </c>
      <c r="M61" s="35" t="s">
        <v>17</v>
      </c>
      <c r="N61" s="35" t="s">
        <v>18</v>
      </c>
      <c r="O61" s="35" t="s">
        <v>30</v>
      </c>
    </row>
    <row r="62" spans="1:15" x14ac:dyDescent="0.35">
      <c r="A62" s="35" t="s">
        <v>145</v>
      </c>
      <c r="B62" s="46">
        <v>45179</v>
      </c>
      <c r="C62" s="46"/>
      <c r="D62" s="47"/>
      <c r="E62" s="46"/>
      <c r="F62" s="35" t="s">
        <v>146</v>
      </c>
      <c r="G62" s="35" t="s">
        <v>76</v>
      </c>
      <c r="H62" s="35" t="str">
        <f>VLOOKUP(G62,ProductMaster!A:C,3,0)</f>
        <v>Books</v>
      </c>
      <c r="I62" s="49" t="s">
        <v>23</v>
      </c>
      <c r="J62" s="36">
        <v>69</v>
      </c>
      <c r="K62" s="36">
        <v>4</v>
      </c>
      <c r="L62" s="36">
        <v>276</v>
      </c>
      <c r="M62" s="35" t="s">
        <v>46</v>
      </c>
      <c r="N62" s="35" t="s">
        <v>29</v>
      </c>
      <c r="O62" s="35" t="s">
        <v>19</v>
      </c>
    </row>
    <row r="63" spans="1:15" x14ac:dyDescent="0.35">
      <c r="A63" s="35" t="s">
        <v>147</v>
      </c>
      <c r="B63" s="46">
        <v>45252</v>
      </c>
      <c r="C63" s="46">
        <v>45259</v>
      </c>
      <c r="D63" s="47">
        <v>7</v>
      </c>
      <c r="E63" s="46"/>
      <c r="F63" s="35" t="s">
        <v>148</v>
      </c>
      <c r="G63" s="35" t="s">
        <v>81</v>
      </c>
      <c r="H63" s="35" t="str">
        <f>VLOOKUP(G63,ProductMaster!A:C,3,0)</f>
        <v>Electronics</v>
      </c>
      <c r="I63" s="49" t="s">
        <v>16</v>
      </c>
      <c r="J63" s="36">
        <v>815</v>
      </c>
      <c r="K63" s="36">
        <v>4</v>
      </c>
      <c r="L63" s="36">
        <v>3260</v>
      </c>
      <c r="M63" s="35" t="s">
        <v>24</v>
      </c>
      <c r="N63" s="35" t="s">
        <v>25</v>
      </c>
      <c r="O63" s="35" t="s">
        <v>30</v>
      </c>
    </row>
    <row r="64" spans="1:15" x14ac:dyDescent="0.35">
      <c r="A64" s="35" t="s">
        <v>149</v>
      </c>
      <c r="B64" s="46">
        <v>45048</v>
      </c>
      <c r="C64" s="46"/>
      <c r="D64" s="47"/>
      <c r="E64" s="46"/>
      <c r="F64" s="35" t="s">
        <v>150</v>
      </c>
      <c r="G64" s="35" t="s">
        <v>69</v>
      </c>
      <c r="H64" s="35" t="str">
        <f>VLOOKUP(G64,ProductMaster!A:C,3,0)</f>
        <v>Fashion</v>
      </c>
      <c r="I64" s="49" t="s">
        <v>23</v>
      </c>
      <c r="J64" s="36">
        <v>27</v>
      </c>
      <c r="K64" s="36">
        <v>1</v>
      </c>
      <c r="L64" s="36">
        <v>27</v>
      </c>
      <c r="M64" s="35" t="s">
        <v>46</v>
      </c>
      <c r="N64" s="35" t="s">
        <v>29</v>
      </c>
      <c r="O64" s="35" t="s">
        <v>38</v>
      </c>
    </row>
    <row r="65" spans="1:15" x14ac:dyDescent="0.35">
      <c r="A65" s="35" t="s">
        <v>151</v>
      </c>
      <c r="B65" s="46">
        <v>45285</v>
      </c>
      <c r="C65" s="46">
        <v>45289</v>
      </c>
      <c r="D65" s="47">
        <v>4</v>
      </c>
      <c r="E65" s="46"/>
      <c r="F65" s="35" t="s">
        <v>152</v>
      </c>
      <c r="G65" s="35" t="s">
        <v>55</v>
      </c>
      <c r="H65" s="35" t="str">
        <f>VLOOKUP(G65,ProductMaster!A:C,3,0)</f>
        <v>Home</v>
      </c>
      <c r="I65" s="49" t="s">
        <v>50</v>
      </c>
      <c r="J65" s="36">
        <v>139</v>
      </c>
      <c r="K65" s="36">
        <v>5</v>
      </c>
      <c r="L65" s="36">
        <v>695</v>
      </c>
      <c r="M65" s="35" t="s">
        <v>17</v>
      </c>
      <c r="N65" s="35" t="s">
        <v>25</v>
      </c>
      <c r="O65" s="35" t="s">
        <v>30</v>
      </c>
    </row>
    <row r="66" spans="1:15" x14ac:dyDescent="0.35">
      <c r="A66" s="35" t="s">
        <v>153</v>
      </c>
      <c r="B66" s="46">
        <v>45217</v>
      </c>
      <c r="C66" s="46"/>
      <c r="D66" s="47"/>
      <c r="E66" s="46">
        <v>45219</v>
      </c>
      <c r="F66" s="35" t="s">
        <v>40</v>
      </c>
      <c r="G66" s="35" t="s">
        <v>76</v>
      </c>
      <c r="H66" s="35" t="str">
        <f>VLOOKUP(G66,ProductMaster!A:C,3,0)</f>
        <v>Books</v>
      </c>
      <c r="I66" s="49" t="s">
        <v>28</v>
      </c>
      <c r="J66" s="36">
        <v>69</v>
      </c>
      <c r="K66" s="36">
        <v>3</v>
      </c>
      <c r="L66" s="36">
        <v>207</v>
      </c>
      <c r="M66" s="35" t="s">
        <v>33</v>
      </c>
      <c r="N66" s="35" t="s">
        <v>18</v>
      </c>
      <c r="O66" s="35" t="s">
        <v>38</v>
      </c>
    </row>
    <row r="67" spans="1:15" x14ac:dyDescent="0.35">
      <c r="A67" s="35" t="s">
        <v>154</v>
      </c>
      <c r="B67" s="46">
        <v>45066</v>
      </c>
      <c r="C67" s="46"/>
      <c r="D67" s="47"/>
      <c r="E67" s="46">
        <v>45067</v>
      </c>
      <c r="F67" s="35" t="s">
        <v>40</v>
      </c>
      <c r="G67" s="35" t="s">
        <v>53</v>
      </c>
      <c r="H67" s="35" t="str">
        <f>VLOOKUP(G67,ProductMaster!A:C,3,0)</f>
        <v>Fashion</v>
      </c>
      <c r="I67" s="49" t="s">
        <v>50</v>
      </c>
      <c r="J67" s="36">
        <v>42</v>
      </c>
      <c r="K67" s="36">
        <v>1</v>
      </c>
      <c r="L67" s="36">
        <v>42</v>
      </c>
      <c r="M67" s="35" t="s">
        <v>17</v>
      </c>
      <c r="N67" s="35" t="s">
        <v>18</v>
      </c>
      <c r="O67" s="35" t="s">
        <v>19</v>
      </c>
    </row>
    <row r="68" spans="1:15" x14ac:dyDescent="0.35">
      <c r="A68" s="35" t="s">
        <v>155</v>
      </c>
      <c r="B68" s="46">
        <v>45135</v>
      </c>
      <c r="C68" s="46">
        <v>45137</v>
      </c>
      <c r="D68" s="47">
        <v>2</v>
      </c>
      <c r="E68" s="46"/>
      <c r="F68" s="35" t="s">
        <v>156</v>
      </c>
      <c r="G68" s="35" t="s">
        <v>114</v>
      </c>
      <c r="H68" s="35" t="str">
        <f>VLOOKUP(G68,ProductMaster!A:C,3,0)</f>
        <v>Toys</v>
      </c>
      <c r="I68" s="49" t="s">
        <v>16</v>
      </c>
      <c r="J68" s="36">
        <v>31</v>
      </c>
      <c r="K68" s="36">
        <v>4</v>
      </c>
      <c r="L68" s="36">
        <v>124</v>
      </c>
      <c r="M68" s="35" t="s">
        <v>24</v>
      </c>
      <c r="N68" s="35" t="s">
        <v>25</v>
      </c>
      <c r="O68" s="35" t="s">
        <v>34</v>
      </c>
    </row>
    <row r="69" spans="1:15" x14ac:dyDescent="0.35">
      <c r="A69" s="35" t="s">
        <v>157</v>
      </c>
      <c r="B69" s="46">
        <v>45278</v>
      </c>
      <c r="C69" s="46"/>
      <c r="D69" s="47"/>
      <c r="E69" s="46"/>
      <c r="F69" s="35" t="s">
        <v>60</v>
      </c>
      <c r="G69" s="35" t="s">
        <v>44</v>
      </c>
      <c r="H69" s="35" t="str">
        <f>VLOOKUP(G69,ProductMaster!A:C,3,0)</f>
        <v>Electronics</v>
      </c>
      <c r="I69" s="49" t="s">
        <v>50</v>
      </c>
      <c r="J69" s="36">
        <v>104</v>
      </c>
      <c r="K69" s="36">
        <v>3</v>
      </c>
      <c r="L69" s="36">
        <v>312</v>
      </c>
      <c r="M69" s="35" t="s">
        <v>24</v>
      </c>
      <c r="N69" s="35" t="s">
        <v>29</v>
      </c>
      <c r="O69" s="35" t="s">
        <v>34</v>
      </c>
    </row>
    <row r="70" spans="1:15" x14ac:dyDescent="0.35">
      <c r="A70" s="35" t="s">
        <v>158</v>
      </c>
      <c r="B70" s="46">
        <v>45109</v>
      </c>
      <c r="C70" s="46"/>
      <c r="D70" s="47"/>
      <c r="E70" s="46">
        <v>45114</v>
      </c>
      <c r="F70" s="35" t="s">
        <v>32</v>
      </c>
      <c r="G70" s="35" t="s">
        <v>37</v>
      </c>
      <c r="H70" s="35" t="str">
        <f>VLOOKUP(G70,ProductMaster!A:C,3,0)</f>
        <v>Fashion</v>
      </c>
      <c r="I70" s="49" t="s">
        <v>23</v>
      </c>
      <c r="J70" s="36">
        <v>58</v>
      </c>
      <c r="K70" s="36">
        <v>2</v>
      </c>
      <c r="L70" s="36">
        <v>116</v>
      </c>
      <c r="M70" s="35" t="s">
        <v>17</v>
      </c>
      <c r="N70" s="35" t="s">
        <v>18</v>
      </c>
      <c r="O70" s="35" t="s">
        <v>30</v>
      </c>
    </row>
    <row r="71" spans="1:15" x14ac:dyDescent="0.35">
      <c r="A71" s="35" t="s">
        <v>159</v>
      </c>
      <c r="B71" s="46">
        <v>45208</v>
      </c>
      <c r="C71" s="46"/>
      <c r="D71" s="47"/>
      <c r="E71" s="46">
        <v>45209</v>
      </c>
      <c r="F71" s="35" t="s">
        <v>40</v>
      </c>
      <c r="G71" s="35" t="s">
        <v>119</v>
      </c>
      <c r="H71" s="35" t="str">
        <f>VLOOKUP(G71,ProductMaster!A:C,3,0)</f>
        <v>Toys</v>
      </c>
      <c r="I71" s="49" t="s">
        <v>50</v>
      </c>
      <c r="J71" s="36">
        <v>62</v>
      </c>
      <c r="K71" s="36">
        <v>2</v>
      </c>
      <c r="L71" s="36">
        <v>124</v>
      </c>
      <c r="M71" s="35" t="s">
        <v>46</v>
      </c>
      <c r="N71" s="35" t="s">
        <v>18</v>
      </c>
      <c r="O71" s="35" t="s">
        <v>19</v>
      </c>
    </row>
    <row r="72" spans="1:15" x14ac:dyDescent="0.35">
      <c r="A72" s="35" t="s">
        <v>160</v>
      </c>
      <c r="B72" s="46">
        <v>45278</v>
      </c>
      <c r="C72" s="46">
        <v>45285</v>
      </c>
      <c r="D72" s="47">
        <v>7</v>
      </c>
      <c r="E72" s="46"/>
      <c r="F72" s="35" t="s">
        <v>118</v>
      </c>
      <c r="G72" s="35" t="s">
        <v>53</v>
      </c>
      <c r="H72" s="35" t="str">
        <f>VLOOKUP(G72,ProductMaster!A:C,3,0)</f>
        <v>Fashion</v>
      </c>
      <c r="I72" s="49" t="s">
        <v>23</v>
      </c>
      <c r="J72" s="36">
        <v>43</v>
      </c>
      <c r="K72" s="36">
        <v>1</v>
      </c>
      <c r="L72" s="36">
        <v>43</v>
      </c>
      <c r="M72" s="35" t="s">
        <v>24</v>
      </c>
      <c r="N72" s="35" t="s">
        <v>25</v>
      </c>
      <c r="O72" s="35" t="s">
        <v>38</v>
      </c>
    </row>
    <row r="73" spans="1:15" x14ac:dyDescent="0.35">
      <c r="A73" s="35" t="s">
        <v>161</v>
      </c>
      <c r="B73" s="46">
        <v>44992</v>
      </c>
      <c r="C73" s="46"/>
      <c r="D73" s="47"/>
      <c r="E73" s="46"/>
      <c r="F73" s="35" t="s">
        <v>148</v>
      </c>
      <c r="G73" s="35" t="s">
        <v>119</v>
      </c>
      <c r="H73" s="35" t="str">
        <f>VLOOKUP(G73,ProductMaster!A:C,3,0)</f>
        <v>Toys</v>
      </c>
      <c r="I73" s="49" t="s">
        <v>23</v>
      </c>
      <c r="J73" s="36">
        <v>62</v>
      </c>
      <c r="K73" s="36">
        <v>4</v>
      </c>
      <c r="L73" s="36">
        <v>248</v>
      </c>
      <c r="M73" s="35" t="s">
        <v>46</v>
      </c>
      <c r="N73" s="35" t="s">
        <v>29</v>
      </c>
      <c r="O73" s="35" t="s">
        <v>38</v>
      </c>
    </row>
    <row r="74" spans="1:15" x14ac:dyDescent="0.35">
      <c r="A74" s="35" t="s">
        <v>162</v>
      </c>
      <c r="B74" s="46">
        <v>45129</v>
      </c>
      <c r="C74" s="46"/>
      <c r="D74" s="47"/>
      <c r="E74" s="46">
        <v>45132</v>
      </c>
      <c r="F74" s="35" t="s">
        <v>87</v>
      </c>
      <c r="G74" s="35" t="s">
        <v>64</v>
      </c>
      <c r="H74" s="35" t="str">
        <f>VLOOKUP(G74,ProductMaster!A:C,3,0)</f>
        <v>Fashion</v>
      </c>
      <c r="I74" s="49" t="s">
        <v>16</v>
      </c>
      <c r="J74" s="36">
        <v>95</v>
      </c>
      <c r="K74" s="36">
        <v>2</v>
      </c>
      <c r="L74" s="36">
        <v>190</v>
      </c>
      <c r="M74" s="35" t="s">
        <v>33</v>
      </c>
      <c r="N74" s="35" t="s">
        <v>18</v>
      </c>
      <c r="O74" s="35" t="s">
        <v>34</v>
      </c>
    </row>
    <row r="75" spans="1:15" x14ac:dyDescent="0.35">
      <c r="A75" s="35" t="s">
        <v>163</v>
      </c>
      <c r="B75" s="46">
        <v>44944</v>
      </c>
      <c r="C75" s="46">
        <v>44950</v>
      </c>
      <c r="D75" s="47">
        <v>6</v>
      </c>
      <c r="E75" s="46"/>
      <c r="F75" s="35" t="s">
        <v>85</v>
      </c>
      <c r="G75" s="35" t="s">
        <v>49</v>
      </c>
      <c r="H75" s="35" t="str">
        <f>VLOOKUP(G75,ProductMaster!A:C,3,0)</f>
        <v>Home</v>
      </c>
      <c r="I75" s="49" t="s">
        <v>45</v>
      </c>
      <c r="J75" s="36">
        <v>36</v>
      </c>
      <c r="K75" s="36">
        <v>4</v>
      </c>
      <c r="L75" s="36">
        <v>144</v>
      </c>
      <c r="M75" s="35" t="s">
        <v>17</v>
      </c>
      <c r="N75" s="35" t="s">
        <v>25</v>
      </c>
      <c r="O75" s="35" t="s">
        <v>61</v>
      </c>
    </row>
    <row r="76" spans="1:15" x14ac:dyDescent="0.35">
      <c r="A76" s="35" t="s">
        <v>164</v>
      </c>
      <c r="B76" s="46">
        <v>45070</v>
      </c>
      <c r="C76" s="46"/>
      <c r="D76" s="47"/>
      <c r="E76" s="46"/>
      <c r="F76" s="35" t="s">
        <v>43</v>
      </c>
      <c r="G76" s="35" t="s">
        <v>67</v>
      </c>
      <c r="H76" s="35" t="str">
        <f>VLOOKUP(G76,ProductMaster!A:C,3,0)</f>
        <v>Electronics</v>
      </c>
      <c r="I76" s="49" t="s">
        <v>23</v>
      </c>
      <c r="J76" s="36">
        <v>73</v>
      </c>
      <c r="K76" s="36">
        <v>5</v>
      </c>
      <c r="L76" s="36">
        <v>365</v>
      </c>
      <c r="M76" s="35" t="s">
        <v>17</v>
      </c>
      <c r="N76" s="35" t="s">
        <v>29</v>
      </c>
      <c r="O76" s="35" t="s">
        <v>19</v>
      </c>
    </row>
    <row r="77" spans="1:15" x14ac:dyDescent="0.35">
      <c r="A77" s="35" t="s">
        <v>165</v>
      </c>
      <c r="B77" s="46">
        <v>45172</v>
      </c>
      <c r="C77" s="46">
        <v>45178</v>
      </c>
      <c r="D77" s="47">
        <v>6</v>
      </c>
      <c r="E77" s="46"/>
      <c r="F77" s="35" t="s">
        <v>63</v>
      </c>
      <c r="G77" s="35" t="s">
        <v>53</v>
      </c>
      <c r="H77" s="35" t="str">
        <f>VLOOKUP(G77,ProductMaster!A:C,3,0)</f>
        <v>Fashion</v>
      </c>
      <c r="I77" s="49" t="s">
        <v>16</v>
      </c>
      <c r="J77" s="36">
        <v>43</v>
      </c>
      <c r="K77" s="36">
        <v>4</v>
      </c>
      <c r="L77" s="36">
        <v>172</v>
      </c>
      <c r="M77" s="35" t="s">
        <v>46</v>
      </c>
      <c r="N77" s="35" t="s">
        <v>25</v>
      </c>
      <c r="O77" s="35" t="s">
        <v>19</v>
      </c>
    </row>
    <row r="78" spans="1:15" x14ac:dyDescent="0.35">
      <c r="A78" s="35" t="s">
        <v>166</v>
      </c>
      <c r="B78" s="46">
        <v>45232</v>
      </c>
      <c r="C78" s="46">
        <v>45234</v>
      </c>
      <c r="D78" s="47">
        <v>2</v>
      </c>
      <c r="E78" s="46"/>
      <c r="F78" s="35" t="s">
        <v>150</v>
      </c>
      <c r="G78" s="35" t="s">
        <v>111</v>
      </c>
      <c r="H78" s="35" t="str">
        <f>VLOOKUP(G78,ProductMaster!A:C,3,0)</f>
        <v>Home</v>
      </c>
      <c r="I78" s="49" t="s">
        <v>50</v>
      </c>
      <c r="J78" s="36">
        <v>214</v>
      </c>
      <c r="K78" s="36">
        <v>5</v>
      </c>
      <c r="L78" s="36">
        <v>1070</v>
      </c>
      <c r="M78" s="35" t="s">
        <v>46</v>
      </c>
      <c r="N78" s="35" t="s">
        <v>25</v>
      </c>
      <c r="O78" s="35" t="s">
        <v>34</v>
      </c>
    </row>
    <row r="79" spans="1:15" x14ac:dyDescent="0.35">
      <c r="A79" s="35" t="s">
        <v>167</v>
      </c>
      <c r="B79" s="46">
        <v>45263</v>
      </c>
      <c r="C79" s="46"/>
      <c r="D79" s="47"/>
      <c r="E79" s="46">
        <v>45266</v>
      </c>
      <c r="F79" s="35" t="s">
        <v>152</v>
      </c>
      <c r="G79" s="35" t="s">
        <v>90</v>
      </c>
      <c r="H79" s="35" t="str">
        <f>VLOOKUP(G79,ProductMaster!A:C,3,0)</f>
        <v>Toys</v>
      </c>
      <c r="I79" s="49" t="s">
        <v>45</v>
      </c>
      <c r="J79" s="36">
        <v>42</v>
      </c>
      <c r="K79" s="36">
        <v>2</v>
      </c>
      <c r="L79" s="36">
        <v>84</v>
      </c>
      <c r="M79" s="35" t="s">
        <v>17</v>
      </c>
      <c r="N79" s="35" t="s">
        <v>18</v>
      </c>
      <c r="O79" s="35" t="s">
        <v>34</v>
      </c>
    </row>
    <row r="80" spans="1:15" x14ac:dyDescent="0.35">
      <c r="A80" s="35" t="s">
        <v>168</v>
      </c>
      <c r="B80" s="46">
        <v>45017</v>
      </c>
      <c r="C80" s="46"/>
      <c r="D80" s="47"/>
      <c r="E80" s="46"/>
      <c r="F80" s="35" t="s">
        <v>152</v>
      </c>
      <c r="G80" s="35" t="s">
        <v>15</v>
      </c>
      <c r="H80" s="35" t="str">
        <f>VLOOKUP(G80,ProductMaster!A:C,3,0)</f>
        <v>Home</v>
      </c>
      <c r="I80" s="49" t="s">
        <v>16</v>
      </c>
      <c r="J80" s="36">
        <v>46</v>
      </c>
      <c r="K80" s="36">
        <v>1</v>
      </c>
      <c r="L80" s="36">
        <v>46</v>
      </c>
      <c r="M80" s="35" t="s">
        <v>41</v>
      </c>
      <c r="N80" s="35" t="s">
        <v>29</v>
      </c>
      <c r="O80" s="35" t="s">
        <v>34</v>
      </c>
    </row>
    <row r="81" spans="1:15" x14ac:dyDescent="0.35">
      <c r="A81" s="35" t="s">
        <v>169</v>
      </c>
      <c r="B81" s="46">
        <v>45215</v>
      </c>
      <c r="C81" s="46">
        <v>45218</v>
      </c>
      <c r="D81" s="47">
        <v>3</v>
      </c>
      <c r="E81" s="46"/>
      <c r="F81" s="35" t="s">
        <v>108</v>
      </c>
      <c r="G81" s="35" t="s">
        <v>22</v>
      </c>
      <c r="H81" s="35" t="str">
        <f>VLOOKUP(G81,ProductMaster!A:C,3,0)</f>
        <v>Toys</v>
      </c>
      <c r="I81" s="49" t="s">
        <v>23</v>
      </c>
      <c r="J81" s="36">
        <v>95</v>
      </c>
      <c r="K81" s="36">
        <v>4</v>
      </c>
      <c r="L81" s="36">
        <v>380</v>
      </c>
      <c r="M81" s="35" t="s">
        <v>24</v>
      </c>
      <c r="N81" s="35" t="s">
        <v>25</v>
      </c>
      <c r="O81" s="35" t="s">
        <v>34</v>
      </c>
    </row>
    <row r="82" spans="1:15" x14ac:dyDescent="0.35">
      <c r="A82" s="35" t="s">
        <v>170</v>
      </c>
      <c r="B82" s="46">
        <v>45235</v>
      </c>
      <c r="C82" s="46"/>
      <c r="D82" s="47"/>
      <c r="E82" s="46"/>
      <c r="F82" s="35" t="s">
        <v>121</v>
      </c>
      <c r="G82" s="35" t="s">
        <v>109</v>
      </c>
      <c r="H82" s="35" t="str">
        <f>VLOOKUP(G82,ProductMaster!A:C,3,0)</f>
        <v>Electronics</v>
      </c>
      <c r="I82" s="49" t="s">
        <v>50</v>
      </c>
      <c r="J82" s="36">
        <v>174</v>
      </c>
      <c r="K82" s="36">
        <v>2</v>
      </c>
      <c r="L82" s="36">
        <v>348</v>
      </c>
      <c r="M82" s="35" t="s">
        <v>33</v>
      </c>
      <c r="N82" s="35" t="s">
        <v>29</v>
      </c>
      <c r="O82" s="35" t="s">
        <v>34</v>
      </c>
    </row>
    <row r="83" spans="1:15" x14ac:dyDescent="0.35">
      <c r="A83" s="35" t="s">
        <v>171</v>
      </c>
      <c r="B83" s="46">
        <v>45092</v>
      </c>
      <c r="C83" s="46"/>
      <c r="D83" s="47"/>
      <c r="E83" s="46">
        <v>45095</v>
      </c>
      <c r="F83" s="35" t="s">
        <v>57</v>
      </c>
      <c r="G83" s="35" t="s">
        <v>69</v>
      </c>
      <c r="H83" s="35" t="str">
        <f>VLOOKUP(G83,ProductMaster!A:C,3,0)</f>
        <v>Fashion</v>
      </c>
      <c r="I83" s="49" t="s">
        <v>16</v>
      </c>
      <c r="J83" s="36">
        <v>27</v>
      </c>
      <c r="K83" s="36">
        <v>5</v>
      </c>
      <c r="L83" s="36">
        <v>135</v>
      </c>
      <c r="M83" s="35" t="s">
        <v>24</v>
      </c>
      <c r="N83" s="35" t="s">
        <v>18</v>
      </c>
      <c r="O83" s="35" t="s">
        <v>38</v>
      </c>
    </row>
    <row r="84" spans="1:15" x14ac:dyDescent="0.35">
      <c r="A84" s="35" t="s">
        <v>172</v>
      </c>
      <c r="B84" s="46">
        <v>45227</v>
      </c>
      <c r="C84" s="46">
        <v>45229</v>
      </c>
      <c r="D84" s="47">
        <v>2</v>
      </c>
      <c r="E84" s="46"/>
      <c r="F84" s="35" t="s">
        <v>14</v>
      </c>
      <c r="G84" s="35" t="s">
        <v>69</v>
      </c>
      <c r="H84" s="35" t="str">
        <f>VLOOKUP(G84,ProductMaster!A:C,3,0)</f>
        <v>Fashion</v>
      </c>
      <c r="I84" s="49" t="s">
        <v>28</v>
      </c>
      <c r="J84" s="36">
        <v>27</v>
      </c>
      <c r="K84" s="36">
        <v>4</v>
      </c>
      <c r="L84" s="36">
        <v>108</v>
      </c>
      <c r="M84" s="35" t="s">
        <v>33</v>
      </c>
      <c r="N84" s="35" t="s">
        <v>25</v>
      </c>
      <c r="O84" s="35" t="s">
        <v>30</v>
      </c>
    </row>
    <row r="85" spans="1:15" x14ac:dyDescent="0.35">
      <c r="A85" s="35" t="s">
        <v>173</v>
      </c>
      <c r="B85" s="46">
        <v>45282</v>
      </c>
      <c r="C85" s="46"/>
      <c r="D85" s="47"/>
      <c r="E85" s="46"/>
      <c r="F85" s="35" t="s">
        <v>174</v>
      </c>
      <c r="G85" s="35" t="s">
        <v>92</v>
      </c>
      <c r="H85" s="35" t="str">
        <f>VLOOKUP(G85,ProductMaster!A:C,3,0)</f>
        <v>Fashion</v>
      </c>
      <c r="I85" s="49" t="s">
        <v>28</v>
      </c>
      <c r="J85" s="36">
        <v>65</v>
      </c>
      <c r="K85" s="36">
        <v>2</v>
      </c>
      <c r="L85" s="36">
        <v>130</v>
      </c>
      <c r="M85" s="35" t="s">
        <v>33</v>
      </c>
      <c r="N85" s="35" t="s">
        <v>29</v>
      </c>
      <c r="O85" s="35" t="s">
        <v>19</v>
      </c>
    </row>
    <row r="86" spans="1:15" x14ac:dyDescent="0.35">
      <c r="A86" s="35" t="s">
        <v>175</v>
      </c>
      <c r="B86" s="46">
        <v>44992</v>
      </c>
      <c r="C86" s="46"/>
      <c r="D86" s="47"/>
      <c r="E86" s="46"/>
      <c r="F86" s="35" t="s">
        <v>60</v>
      </c>
      <c r="G86" s="35" t="s">
        <v>53</v>
      </c>
      <c r="H86" s="35" t="str">
        <f>VLOOKUP(G86,ProductMaster!A:C,3,0)</f>
        <v>Fashion</v>
      </c>
      <c r="I86" s="49" t="s">
        <v>23</v>
      </c>
      <c r="J86" s="36">
        <v>43</v>
      </c>
      <c r="K86" s="36">
        <v>5</v>
      </c>
      <c r="L86" s="36">
        <v>215</v>
      </c>
      <c r="M86" s="35" t="s">
        <v>46</v>
      </c>
      <c r="N86" s="35" t="s">
        <v>29</v>
      </c>
      <c r="O86" s="35" t="s">
        <v>19</v>
      </c>
    </row>
    <row r="87" spans="1:15" x14ac:dyDescent="0.35">
      <c r="A87" s="35" t="s">
        <v>176</v>
      </c>
      <c r="B87" s="46">
        <v>45240</v>
      </c>
      <c r="C87" s="46"/>
      <c r="D87" s="47"/>
      <c r="E87" s="46"/>
      <c r="F87" s="35" t="s">
        <v>97</v>
      </c>
      <c r="G87" s="35" t="s">
        <v>111</v>
      </c>
      <c r="H87" s="35" t="str">
        <f>VLOOKUP(G87,ProductMaster!A:C,3,0)</f>
        <v>Home</v>
      </c>
      <c r="I87" s="49" t="s">
        <v>50</v>
      </c>
      <c r="J87" s="36">
        <v>210</v>
      </c>
      <c r="K87" s="36">
        <v>1</v>
      </c>
      <c r="L87" s="36">
        <v>210</v>
      </c>
      <c r="M87" s="35" t="s">
        <v>33</v>
      </c>
      <c r="N87" s="35" t="s">
        <v>29</v>
      </c>
      <c r="O87" s="35" t="s">
        <v>34</v>
      </c>
    </row>
    <row r="88" spans="1:15" x14ac:dyDescent="0.35">
      <c r="A88" s="35" t="s">
        <v>177</v>
      </c>
      <c r="B88" s="46">
        <v>45252</v>
      </c>
      <c r="C88" s="46"/>
      <c r="D88" s="47"/>
      <c r="E88" s="46"/>
      <c r="F88" s="35" t="s">
        <v>178</v>
      </c>
      <c r="G88" s="35" t="s">
        <v>49</v>
      </c>
      <c r="H88" s="35" t="str">
        <f>VLOOKUP(G88,ProductMaster!A:C,3,0)</f>
        <v>Home</v>
      </c>
      <c r="I88" s="34" t="s">
        <v>28</v>
      </c>
      <c r="J88" s="36">
        <v>37</v>
      </c>
      <c r="K88" s="36">
        <v>3</v>
      </c>
      <c r="L88" s="36">
        <v>111</v>
      </c>
      <c r="M88" s="35" t="s">
        <v>24</v>
      </c>
      <c r="N88" s="35" t="s">
        <v>29</v>
      </c>
      <c r="O88" s="35" t="s">
        <v>34</v>
      </c>
    </row>
    <row r="89" spans="1:15" x14ac:dyDescent="0.35">
      <c r="A89" s="35" t="s">
        <v>179</v>
      </c>
      <c r="B89" s="46">
        <v>45054</v>
      </c>
      <c r="C89" s="46"/>
      <c r="D89" s="47"/>
      <c r="E89" s="46"/>
      <c r="F89" s="35" t="s">
        <v>97</v>
      </c>
      <c r="G89" s="35" t="s">
        <v>81</v>
      </c>
      <c r="H89" s="35" t="str">
        <f>VLOOKUP(G89,ProductMaster!A:C,3,0)</f>
        <v>Electronics</v>
      </c>
      <c r="I89" s="49" t="s">
        <v>28</v>
      </c>
      <c r="J89" s="36">
        <v>788</v>
      </c>
      <c r="K89" s="36">
        <v>4</v>
      </c>
      <c r="L89" s="36">
        <v>3152</v>
      </c>
      <c r="M89" s="35" t="s">
        <v>46</v>
      </c>
      <c r="N89" s="35" t="s">
        <v>29</v>
      </c>
      <c r="O89" s="35" t="s">
        <v>38</v>
      </c>
    </row>
    <row r="90" spans="1:15" x14ac:dyDescent="0.35">
      <c r="A90" s="35" t="s">
        <v>180</v>
      </c>
      <c r="B90" s="46">
        <v>45120</v>
      </c>
      <c r="C90" s="46"/>
      <c r="D90" s="47"/>
      <c r="E90" s="46"/>
      <c r="F90" s="35" t="s">
        <v>97</v>
      </c>
      <c r="G90" s="35" t="s">
        <v>111</v>
      </c>
      <c r="H90" s="35" t="str">
        <f>VLOOKUP(G90,ProductMaster!A:C,3,0)</f>
        <v>Home</v>
      </c>
      <c r="I90" s="49" t="s">
        <v>50</v>
      </c>
      <c r="J90" s="36">
        <v>217</v>
      </c>
      <c r="K90" s="36">
        <v>5</v>
      </c>
      <c r="L90" s="36">
        <v>1085</v>
      </c>
      <c r="M90" s="35" t="s">
        <v>46</v>
      </c>
      <c r="N90" s="35" t="s">
        <v>29</v>
      </c>
      <c r="O90" s="35" t="s">
        <v>61</v>
      </c>
    </row>
    <row r="91" spans="1:15" x14ac:dyDescent="0.35">
      <c r="A91" s="35" t="s">
        <v>181</v>
      </c>
      <c r="B91" s="46">
        <v>44944</v>
      </c>
      <c r="C91" s="46"/>
      <c r="D91" s="47"/>
      <c r="E91" s="46"/>
      <c r="F91" s="35" t="s">
        <v>97</v>
      </c>
      <c r="G91" s="35" t="s">
        <v>55</v>
      </c>
      <c r="H91" s="35" t="str">
        <f>VLOOKUP(G91,ProductMaster!A:C,3,0)</f>
        <v>Home</v>
      </c>
      <c r="I91" s="49" t="s">
        <v>50</v>
      </c>
      <c r="J91" s="36">
        <v>138</v>
      </c>
      <c r="K91" s="36">
        <v>4</v>
      </c>
      <c r="L91" s="36">
        <v>552</v>
      </c>
      <c r="M91" s="35" t="s">
        <v>24</v>
      </c>
      <c r="N91" s="35" t="s">
        <v>29</v>
      </c>
      <c r="O91" s="35" t="s">
        <v>61</v>
      </c>
    </row>
    <row r="92" spans="1:15" x14ac:dyDescent="0.35">
      <c r="A92" s="35" t="s">
        <v>182</v>
      </c>
      <c r="B92" s="46">
        <v>45100</v>
      </c>
      <c r="C92" s="46">
        <v>45106</v>
      </c>
      <c r="D92" s="47">
        <v>6</v>
      </c>
      <c r="E92" s="46"/>
      <c r="F92" s="35" t="s">
        <v>183</v>
      </c>
      <c r="G92" s="35" t="s">
        <v>81</v>
      </c>
      <c r="H92" s="35" t="str">
        <f>VLOOKUP(G92,ProductMaster!A:C,3,0)</f>
        <v>Electronics</v>
      </c>
      <c r="I92" s="49" t="s">
        <v>45</v>
      </c>
      <c r="J92" s="36">
        <v>803</v>
      </c>
      <c r="K92" s="36">
        <v>2</v>
      </c>
      <c r="L92" s="36">
        <v>1606</v>
      </c>
      <c r="M92" s="35" t="s">
        <v>17</v>
      </c>
      <c r="N92" s="35" t="s">
        <v>25</v>
      </c>
      <c r="O92" s="35" t="s">
        <v>61</v>
      </c>
    </row>
    <row r="93" spans="1:15" x14ac:dyDescent="0.35">
      <c r="A93" s="35" t="s">
        <v>184</v>
      </c>
      <c r="B93" s="46">
        <v>44978</v>
      </c>
      <c r="C93" s="46"/>
      <c r="D93" s="47"/>
      <c r="E93" s="46">
        <v>44982</v>
      </c>
      <c r="F93" s="35" t="s">
        <v>52</v>
      </c>
      <c r="G93" s="35" t="s">
        <v>58</v>
      </c>
      <c r="H93" s="35" t="str">
        <f>VLOOKUP(G93,ProductMaster!A:C,3,0)</f>
        <v>Electronics</v>
      </c>
      <c r="I93" s="49" t="s">
        <v>16</v>
      </c>
      <c r="J93" s="36">
        <v>248</v>
      </c>
      <c r="K93" s="36">
        <v>5</v>
      </c>
      <c r="L93" s="36">
        <v>1240</v>
      </c>
      <c r="M93" s="35" t="s">
        <v>33</v>
      </c>
      <c r="N93" s="35" t="s">
        <v>18</v>
      </c>
      <c r="O93" s="35" t="s">
        <v>34</v>
      </c>
    </row>
    <row r="94" spans="1:15" x14ac:dyDescent="0.35">
      <c r="A94" s="35" t="s">
        <v>185</v>
      </c>
      <c r="B94" s="46">
        <v>44976</v>
      </c>
      <c r="C94" s="46">
        <v>44978</v>
      </c>
      <c r="D94" s="47">
        <v>2</v>
      </c>
      <c r="E94" s="46"/>
      <c r="F94" s="35" t="s">
        <v>186</v>
      </c>
      <c r="G94" s="35" t="s">
        <v>111</v>
      </c>
      <c r="H94" s="35" t="str">
        <f>VLOOKUP(G94,ProductMaster!A:C,3,0)</f>
        <v>Home</v>
      </c>
      <c r="I94" s="49" t="s">
        <v>23</v>
      </c>
      <c r="J94" s="36">
        <v>210</v>
      </c>
      <c r="K94" s="36">
        <v>3</v>
      </c>
      <c r="L94" s="36">
        <v>630</v>
      </c>
      <c r="M94" s="35" t="s">
        <v>17</v>
      </c>
      <c r="N94" s="35" t="s">
        <v>25</v>
      </c>
      <c r="O94" s="35" t="s">
        <v>19</v>
      </c>
    </row>
    <row r="95" spans="1:15" x14ac:dyDescent="0.35">
      <c r="A95" s="35" t="s">
        <v>187</v>
      </c>
      <c r="B95" s="46">
        <v>45265</v>
      </c>
      <c r="C95" s="46"/>
      <c r="D95" s="47"/>
      <c r="E95" s="46">
        <v>45272</v>
      </c>
      <c r="F95" s="35" t="s">
        <v>52</v>
      </c>
      <c r="G95" s="35" t="s">
        <v>119</v>
      </c>
      <c r="H95" s="35" t="str">
        <f>VLOOKUP(G95,ProductMaster!A:C,3,0)</f>
        <v>Toys</v>
      </c>
      <c r="I95" s="49" t="s">
        <v>16</v>
      </c>
      <c r="J95" s="36">
        <v>62</v>
      </c>
      <c r="K95" s="36">
        <v>2</v>
      </c>
      <c r="L95" s="36">
        <v>124</v>
      </c>
      <c r="M95" s="35" t="s">
        <v>24</v>
      </c>
      <c r="N95" s="35" t="s">
        <v>18</v>
      </c>
      <c r="O95" s="35" t="s">
        <v>61</v>
      </c>
    </row>
    <row r="96" spans="1:15" x14ac:dyDescent="0.35">
      <c r="A96" s="35" t="s">
        <v>188</v>
      </c>
      <c r="B96" s="46">
        <v>45084</v>
      </c>
      <c r="C96" s="46"/>
      <c r="D96" s="47"/>
      <c r="E96" s="46">
        <v>45089</v>
      </c>
      <c r="F96" s="35" t="s">
        <v>178</v>
      </c>
      <c r="G96" s="35" t="s">
        <v>104</v>
      </c>
      <c r="H96" s="35" t="str">
        <f>VLOOKUP(G96,ProductMaster!A:C,3,0)</f>
        <v>Books</v>
      </c>
      <c r="I96" s="49" t="s">
        <v>28</v>
      </c>
      <c r="J96" s="36">
        <v>11</v>
      </c>
      <c r="K96" s="36">
        <v>5</v>
      </c>
      <c r="L96" s="36">
        <v>55</v>
      </c>
      <c r="M96" s="35" t="s">
        <v>46</v>
      </c>
      <c r="N96" s="35" t="s">
        <v>18</v>
      </c>
      <c r="O96" s="35" t="s">
        <v>38</v>
      </c>
    </row>
    <row r="97" spans="1:15" x14ac:dyDescent="0.35">
      <c r="A97" s="35" t="s">
        <v>189</v>
      </c>
      <c r="B97" s="46">
        <v>45116</v>
      </c>
      <c r="C97" s="46">
        <v>45119</v>
      </c>
      <c r="D97" s="47">
        <v>3</v>
      </c>
      <c r="E97" s="46"/>
      <c r="F97" s="35" t="s">
        <v>139</v>
      </c>
      <c r="G97" s="35" t="s">
        <v>73</v>
      </c>
      <c r="H97" s="35" t="str">
        <f>VLOOKUP(G97,ProductMaster!A:C,3,0)</f>
        <v>Books</v>
      </c>
      <c r="I97" s="49" t="s">
        <v>16</v>
      </c>
      <c r="J97" s="36">
        <v>21</v>
      </c>
      <c r="K97" s="36">
        <v>2</v>
      </c>
      <c r="L97" s="36">
        <v>42</v>
      </c>
      <c r="M97" s="35" t="s">
        <v>41</v>
      </c>
      <c r="N97" s="35" t="s">
        <v>25</v>
      </c>
      <c r="O97" s="35" t="s">
        <v>34</v>
      </c>
    </row>
    <row r="98" spans="1:15" x14ac:dyDescent="0.35">
      <c r="A98" s="35" t="s">
        <v>190</v>
      </c>
      <c r="B98" s="46">
        <v>45283</v>
      </c>
      <c r="C98" s="46">
        <v>45286</v>
      </c>
      <c r="D98" s="47">
        <v>3</v>
      </c>
      <c r="E98" s="46"/>
      <c r="F98" s="35" t="s">
        <v>63</v>
      </c>
      <c r="G98" s="35" t="s">
        <v>22</v>
      </c>
      <c r="H98" s="35" t="str">
        <f>VLOOKUP(G98,ProductMaster!A:C,3,0)</f>
        <v>Toys</v>
      </c>
      <c r="I98" s="49" t="s">
        <v>50</v>
      </c>
      <c r="J98" s="36">
        <v>95</v>
      </c>
      <c r="K98" s="36">
        <v>5</v>
      </c>
      <c r="L98" s="36">
        <v>475</v>
      </c>
      <c r="M98" s="35" t="s">
        <v>41</v>
      </c>
      <c r="N98" s="35" t="s">
        <v>25</v>
      </c>
      <c r="O98" s="35" t="s">
        <v>38</v>
      </c>
    </row>
    <row r="99" spans="1:15" x14ac:dyDescent="0.35">
      <c r="A99" s="35" t="s">
        <v>191</v>
      </c>
      <c r="B99" s="46">
        <v>45194</v>
      </c>
      <c r="C99" s="46">
        <v>45199</v>
      </c>
      <c r="D99" s="47">
        <v>5</v>
      </c>
      <c r="E99" s="46"/>
      <c r="F99" s="35" t="s">
        <v>32</v>
      </c>
      <c r="G99" s="35" t="s">
        <v>111</v>
      </c>
      <c r="H99" s="35" t="str">
        <f>VLOOKUP(G99,ProductMaster!A:C,3,0)</f>
        <v>Home</v>
      </c>
      <c r="I99" s="49" t="s">
        <v>28</v>
      </c>
      <c r="J99" s="36">
        <v>215</v>
      </c>
      <c r="K99" s="36">
        <v>2</v>
      </c>
      <c r="L99" s="36">
        <v>430</v>
      </c>
      <c r="M99" s="35" t="s">
        <v>33</v>
      </c>
      <c r="N99" s="35" t="s">
        <v>25</v>
      </c>
      <c r="O99" s="35" t="s">
        <v>38</v>
      </c>
    </row>
    <row r="100" spans="1:15" x14ac:dyDescent="0.35">
      <c r="A100" s="35" t="s">
        <v>192</v>
      </c>
      <c r="B100" s="46">
        <v>44944</v>
      </c>
      <c r="C100" s="46"/>
      <c r="D100" s="47"/>
      <c r="E100" s="46">
        <v>44950</v>
      </c>
      <c r="F100" s="35" t="s">
        <v>193</v>
      </c>
      <c r="G100" s="35" t="s">
        <v>53</v>
      </c>
      <c r="H100" s="35" t="str">
        <f>VLOOKUP(G100,ProductMaster!A:C,3,0)</f>
        <v>Fashion</v>
      </c>
      <c r="I100" s="49" t="s">
        <v>50</v>
      </c>
      <c r="J100" s="36">
        <v>43</v>
      </c>
      <c r="K100" s="36">
        <v>5</v>
      </c>
      <c r="L100" s="36">
        <v>215</v>
      </c>
      <c r="M100" s="35" t="s">
        <v>24</v>
      </c>
      <c r="N100" s="35" t="s">
        <v>18</v>
      </c>
      <c r="O100" s="35" t="s">
        <v>34</v>
      </c>
    </row>
    <row r="101" spans="1:15" x14ac:dyDescent="0.35">
      <c r="A101" s="35" t="s">
        <v>194</v>
      </c>
      <c r="B101" s="46">
        <v>45012</v>
      </c>
      <c r="C101" s="46"/>
      <c r="D101" s="47"/>
      <c r="E101" s="46"/>
      <c r="F101" s="35" t="s">
        <v>40</v>
      </c>
      <c r="G101" s="35" t="s">
        <v>90</v>
      </c>
      <c r="H101" s="35" t="str">
        <f>VLOOKUP(G101,ProductMaster!A:C,3,0)</f>
        <v>Toys</v>
      </c>
      <c r="I101" s="49" t="s">
        <v>50</v>
      </c>
      <c r="J101" s="36">
        <v>42</v>
      </c>
      <c r="K101" s="36">
        <v>4</v>
      </c>
      <c r="L101" s="36">
        <v>168</v>
      </c>
      <c r="M101" s="35" t="s">
        <v>46</v>
      </c>
      <c r="N101" s="35" t="s">
        <v>29</v>
      </c>
      <c r="O101" s="35" t="s">
        <v>19</v>
      </c>
    </row>
  </sheetData>
  <mergeCells count="3">
    <mergeCell ref="Q13:R13"/>
    <mergeCell ref="Q16:R16"/>
    <mergeCell ref="Q19:R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85C8-109A-4170-A335-F66D6A881898}">
  <dimension ref="A1"/>
  <sheetViews>
    <sheetView tabSelected="1" zoomScale="73" workbookViewId="0">
      <selection activeCell="V14" sqref="V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G11" sqref="G11"/>
    </sheetView>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54" t="s">
        <v>5</v>
      </c>
      <c r="B1" s="54" t="s">
        <v>195</v>
      </c>
      <c r="C1" s="54" t="s">
        <v>196</v>
      </c>
      <c r="D1" s="55" t="s">
        <v>197</v>
      </c>
      <c r="E1" s="54" t="s">
        <v>198</v>
      </c>
    </row>
    <row r="2" spans="1:5" ht="18" customHeight="1" x14ac:dyDescent="0.35">
      <c r="A2" s="56" t="s">
        <v>81</v>
      </c>
      <c r="B2" s="56" t="s">
        <v>199</v>
      </c>
      <c r="C2" s="56" t="s">
        <v>200</v>
      </c>
      <c r="D2" s="57">
        <v>749</v>
      </c>
      <c r="E2" s="58" t="s">
        <v>201</v>
      </c>
    </row>
    <row r="3" spans="1:5" ht="18" customHeight="1" x14ac:dyDescent="0.35">
      <c r="A3" s="56" t="s">
        <v>90</v>
      </c>
      <c r="B3" s="56" t="s">
        <v>202</v>
      </c>
      <c r="C3" s="56" t="s">
        <v>203</v>
      </c>
      <c r="D3" s="57">
        <v>39</v>
      </c>
      <c r="E3" s="58" t="s">
        <v>204</v>
      </c>
    </row>
    <row r="4" spans="1:5" ht="18" customHeight="1" x14ac:dyDescent="0.35">
      <c r="A4" s="56" t="s">
        <v>55</v>
      </c>
      <c r="B4" s="56" t="s">
        <v>205</v>
      </c>
      <c r="C4" s="56" t="s">
        <v>206</v>
      </c>
      <c r="D4" s="57">
        <v>129</v>
      </c>
      <c r="E4" s="56" t="s">
        <v>207</v>
      </c>
    </row>
    <row r="5" spans="1:5" ht="18" customHeight="1" x14ac:dyDescent="0.35">
      <c r="A5" s="56" t="s">
        <v>119</v>
      </c>
      <c r="B5" s="56" t="s">
        <v>208</v>
      </c>
      <c r="C5" s="56" t="s">
        <v>203</v>
      </c>
      <c r="D5" s="57">
        <v>59</v>
      </c>
      <c r="E5" s="56" t="s">
        <v>209</v>
      </c>
    </row>
    <row r="6" spans="1:5" ht="18" customHeight="1" x14ac:dyDescent="0.35">
      <c r="A6" s="56" t="s">
        <v>69</v>
      </c>
      <c r="B6" s="56" t="s">
        <v>210</v>
      </c>
      <c r="C6" s="56" t="s">
        <v>211</v>
      </c>
      <c r="D6" s="57">
        <v>25</v>
      </c>
      <c r="E6" s="56" t="s">
        <v>212</v>
      </c>
    </row>
    <row r="7" spans="1:5" ht="18" customHeight="1" x14ac:dyDescent="0.35">
      <c r="A7" s="56" t="s">
        <v>64</v>
      </c>
      <c r="B7" s="56" t="s">
        <v>213</v>
      </c>
      <c r="C7" s="56" t="s">
        <v>211</v>
      </c>
      <c r="D7" s="57">
        <v>89</v>
      </c>
      <c r="E7" s="56" t="s">
        <v>214</v>
      </c>
    </row>
    <row r="8" spans="1:5" ht="18" customHeight="1" x14ac:dyDescent="0.35">
      <c r="A8" s="56" t="s">
        <v>114</v>
      </c>
      <c r="B8" s="56" t="s">
        <v>215</v>
      </c>
      <c r="C8" s="56" t="s">
        <v>203</v>
      </c>
      <c r="D8" s="57">
        <v>29</v>
      </c>
      <c r="E8" s="56" t="s">
        <v>216</v>
      </c>
    </row>
    <row r="9" spans="1:5" ht="18" customHeight="1" x14ac:dyDescent="0.35">
      <c r="A9" s="56" t="s">
        <v>76</v>
      </c>
      <c r="B9" s="56" t="s">
        <v>217</v>
      </c>
      <c r="C9" s="56" t="s">
        <v>218</v>
      </c>
      <c r="D9" s="57">
        <v>65</v>
      </c>
      <c r="E9" s="56" t="s">
        <v>219</v>
      </c>
    </row>
    <row r="10" spans="1:5" ht="18" customHeight="1" x14ac:dyDescent="0.35">
      <c r="A10" s="56" t="s">
        <v>104</v>
      </c>
      <c r="B10" s="56" t="s">
        <v>220</v>
      </c>
      <c r="C10" s="56" t="s">
        <v>218</v>
      </c>
      <c r="D10" s="57">
        <v>10</v>
      </c>
      <c r="E10" s="56" t="s">
        <v>221</v>
      </c>
    </row>
    <row r="11" spans="1:5" ht="18" customHeight="1" x14ac:dyDescent="0.35">
      <c r="A11" s="56" t="s">
        <v>37</v>
      </c>
      <c r="B11" s="56" t="s">
        <v>222</v>
      </c>
      <c r="C11" s="56" t="s">
        <v>211</v>
      </c>
      <c r="D11" s="57">
        <v>55</v>
      </c>
      <c r="E11" s="56" t="s">
        <v>223</v>
      </c>
    </row>
    <row r="12" spans="1:5" ht="18" customHeight="1" x14ac:dyDescent="0.35">
      <c r="A12" s="56" t="s">
        <v>109</v>
      </c>
      <c r="B12" s="56" t="s">
        <v>224</v>
      </c>
      <c r="C12" s="56" t="s">
        <v>200</v>
      </c>
      <c r="D12" s="57">
        <v>159</v>
      </c>
      <c r="E12" s="56" t="s">
        <v>225</v>
      </c>
    </row>
    <row r="13" spans="1:5" ht="18" customHeight="1" x14ac:dyDescent="0.35">
      <c r="A13" s="56" t="s">
        <v>15</v>
      </c>
      <c r="B13" s="56" t="s">
        <v>226</v>
      </c>
      <c r="C13" s="56" t="s">
        <v>206</v>
      </c>
      <c r="D13" s="57">
        <v>42</v>
      </c>
      <c r="E13" s="56" t="s">
        <v>227</v>
      </c>
    </row>
    <row r="14" spans="1:5" ht="18" customHeight="1" x14ac:dyDescent="0.35">
      <c r="A14" s="56" t="s">
        <v>27</v>
      </c>
      <c r="B14" s="56" t="s">
        <v>228</v>
      </c>
      <c r="C14" s="56" t="s">
        <v>206</v>
      </c>
      <c r="D14" s="57">
        <v>185</v>
      </c>
      <c r="E14" s="56" t="s">
        <v>229</v>
      </c>
    </row>
    <row r="15" spans="1:5" ht="18" customHeight="1" x14ac:dyDescent="0.35">
      <c r="A15" s="56" t="s">
        <v>58</v>
      </c>
      <c r="B15" s="56" t="s">
        <v>230</v>
      </c>
      <c r="C15" s="56" t="s">
        <v>200</v>
      </c>
      <c r="D15" s="57">
        <v>229</v>
      </c>
      <c r="E15" s="56" t="s">
        <v>231</v>
      </c>
    </row>
    <row r="16" spans="1:5" ht="18" customHeight="1" x14ac:dyDescent="0.35">
      <c r="A16" s="56" t="s">
        <v>73</v>
      </c>
      <c r="B16" s="56" t="s">
        <v>232</v>
      </c>
      <c r="C16" s="56" t="s">
        <v>218</v>
      </c>
      <c r="D16" s="57">
        <v>20</v>
      </c>
      <c r="E16" s="56" t="s">
        <v>233</v>
      </c>
    </row>
    <row r="17" spans="1:5" ht="18" customHeight="1" x14ac:dyDescent="0.35">
      <c r="A17" s="56" t="s">
        <v>111</v>
      </c>
      <c r="B17" s="56" t="s">
        <v>234</v>
      </c>
      <c r="C17" s="56" t="s">
        <v>206</v>
      </c>
      <c r="D17" s="57">
        <v>199</v>
      </c>
      <c r="E17" s="56" t="s">
        <v>235</v>
      </c>
    </row>
    <row r="18" spans="1:5" ht="18" customHeight="1" x14ac:dyDescent="0.35">
      <c r="A18" s="56" t="s">
        <v>67</v>
      </c>
      <c r="B18" s="56" t="s">
        <v>236</v>
      </c>
      <c r="C18" s="56" t="s">
        <v>200</v>
      </c>
      <c r="D18" s="57">
        <v>69</v>
      </c>
      <c r="E18" s="56" t="s">
        <v>237</v>
      </c>
    </row>
    <row r="19" spans="1:5" ht="18" customHeight="1" x14ac:dyDescent="0.35">
      <c r="A19" s="56" t="s">
        <v>22</v>
      </c>
      <c r="B19" s="56" t="s">
        <v>238</v>
      </c>
      <c r="C19" s="56" t="s">
        <v>203</v>
      </c>
      <c r="D19" s="57">
        <v>89</v>
      </c>
      <c r="E19" s="56" t="s">
        <v>239</v>
      </c>
    </row>
    <row r="20" spans="1:5" ht="18" customHeight="1" x14ac:dyDescent="0.35">
      <c r="A20" s="56" t="s">
        <v>53</v>
      </c>
      <c r="B20" s="56" t="s">
        <v>240</v>
      </c>
      <c r="C20" s="56" t="s">
        <v>211</v>
      </c>
      <c r="D20" s="57">
        <v>40</v>
      </c>
      <c r="E20" s="56" t="s">
        <v>241</v>
      </c>
    </row>
    <row r="21" spans="1:5" ht="18" customHeight="1" x14ac:dyDescent="0.35">
      <c r="A21" s="56" t="s">
        <v>44</v>
      </c>
      <c r="B21" s="56" t="s">
        <v>242</v>
      </c>
      <c r="C21" s="56" t="s">
        <v>200</v>
      </c>
      <c r="D21" s="57">
        <v>99</v>
      </c>
      <c r="E21" s="56" t="s">
        <v>243</v>
      </c>
    </row>
    <row r="22" spans="1:5" ht="18" customHeight="1" x14ac:dyDescent="0.35">
      <c r="A22" s="56" t="s">
        <v>49</v>
      </c>
      <c r="B22" s="56" t="s">
        <v>244</v>
      </c>
      <c r="C22" s="56" t="s">
        <v>206</v>
      </c>
      <c r="D22" s="57">
        <v>34</v>
      </c>
      <c r="E22" s="56" t="s">
        <v>245</v>
      </c>
    </row>
    <row r="23" spans="1:5" ht="18" customHeight="1" x14ac:dyDescent="0.35">
      <c r="A23" s="56" t="s">
        <v>92</v>
      </c>
      <c r="B23" s="56" t="s">
        <v>246</v>
      </c>
      <c r="C23" s="56" t="s">
        <v>211</v>
      </c>
      <c r="D23" s="57">
        <v>60</v>
      </c>
      <c r="E23" s="56" t="s">
        <v>247</v>
      </c>
    </row>
    <row r="24" spans="1:5" ht="14.25" customHeight="1" x14ac:dyDescent="0.35">
      <c r="A24" s="1"/>
      <c r="B24" s="1"/>
      <c r="C24" s="1"/>
      <c r="D24" s="2"/>
      <c r="E24" s="1"/>
    </row>
    <row r="25" spans="1:5" ht="14.25" customHeight="1" x14ac:dyDescent="0.35">
      <c r="A25" s="1"/>
      <c r="B25" s="1"/>
      <c r="C25" s="1"/>
      <c r="D25" s="2"/>
      <c r="E25" s="1"/>
    </row>
    <row r="26" spans="1:5" ht="14.25" customHeight="1" x14ac:dyDescent="0.35">
      <c r="A26" s="1"/>
      <c r="B26" s="1"/>
      <c r="C26" s="1"/>
      <c r="D26" s="2"/>
      <c r="E26" s="1"/>
    </row>
    <row r="27" spans="1:5" ht="14.25" customHeight="1" x14ac:dyDescent="0.35">
      <c r="A27" s="1"/>
      <c r="B27" s="1"/>
      <c r="C27" s="1"/>
      <c r="D27" s="2"/>
      <c r="E27" s="1"/>
    </row>
    <row r="28" spans="1:5" ht="14.25" customHeight="1" x14ac:dyDescent="0.35">
      <c r="A28" s="1"/>
      <c r="B28" s="1"/>
      <c r="C28" s="1"/>
      <c r="D28" s="2"/>
      <c r="E28" s="1"/>
    </row>
    <row r="29" spans="1:5" ht="14.25" customHeight="1" x14ac:dyDescent="0.35">
      <c r="A29" s="1"/>
      <c r="B29" s="1"/>
      <c r="C29" s="1"/>
      <c r="D29" s="2"/>
      <c r="E29" s="1"/>
    </row>
    <row r="30" spans="1:5" ht="14.25" customHeight="1" x14ac:dyDescent="0.35">
      <c r="A30" s="1"/>
      <c r="B30" s="1"/>
      <c r="C30" s="1"/>
      <c r="D30" s="2"/>
      <c r="E30" s="1"/>
    </row>
    <row r="31" spans="1:5" ht="14.25" customHeight="1" x14ac:dyDescent="0.35">
      <c r="A31" s="1"/>
      <c r="B31" s="1"/>
      <c r="C31" s="1"/>
      <c r="D31" s="2"/>
      <c r="E31" s="1"/>
    </row>
    <row r="32" spans="1:5" ht="14.25" customHeight="1" x14ac:dyDescent="0.35">
      <c r="A32" s="1"/>
      <c r="B32" s="1"/>
      <c r="C32" s="1"/>
      <c r="D32" s="2"/>
      <c r="E32" s="1"/>
    </row>
    <row r="33" spans="1:5" ht="14.25" customHeight="1" x14ac:dyDescent="0.35">
      <c r="A33" s="1"/>
      <c r="B33" s="1"/>
      <c r="C33" s="1"/>
      <c r="D33" s="2"/>
      <c r="E33" s="1"/>
    </row>
    <row r="34" spans="1:5" ht="14.25" customHeight="1" x14ac:dyDescent="0.35">
      <c r="A34" s="1"/>
      <c r="B34" s="1"/>
      <c r="C34" s="1"/>
      <c r="D34" s="2"/>
      <c r="E34" s="1"/>
    </row>
    <row r="35" spans="1:5" ht="14.25" customHeight="1" x14ac:dyDescent="0.35">
      <c r="A35" s="1"/>
      <c r="B35" s="1"/>
      <c r="C35" s="1"/>
      <c r="D35" s="2"/>
      <c r="E35" s="1"/>
    </row>
    <row r="36" spans="1:5" ht="14.25" customHeight="1" x14ac:dyDescent="0.35">
      <c r="A36" s="1"/>
      <c r="B36" s="1"/>
      <c r="C36" s="1"/>
      <c r="D36" s="2"/>
      <c r="E36" s="1"/>
    </row>
    <row r="37" spans="1:5" ht="14.25" customHeight="1" x14ac:dyDescent="0.35">
      <c r="A37" s="1"/>
      <c r="B37" s="1"/>
      <c r="C37" s="1"/>
      <c r="D37" s="2"/>
      <c r="E37" s="1"/>
    </row>
    <row r="38" spans="1:5" ht="14.25" customHeight="1" x14ac:dyDescent="0.35">
      <c r="A38" s="1"/>
      <c r="B38" s="1"/>
      <c r="C38" s="1"/>
      <c r="D38" s="2"/>
      <c r="E38" s="1"/>
    </row>
    <row r="39" spans="1:5" ht="14.25" customHeight="1" x14ac:dyDescent="0.35">
      <c r="A39" s="1"/>
      <c r="B39" s="1"/>
      <c r="C39" s="1"/>
      <c r="D39" s="2"/>
      <c r="E39" s="1"/>
    </row>
    <row r="40" spans="1:5" ht="14.25" customHeight="1" x14ac:dyDescent="0.35">
      <c r="A40" s="1"/>
      <c r="B40" s="1"/>
      <c r="C40" s="1"/>
      <c r="D40" s="2"/>
      <c r="E40" s="1"/>
    </row>
    <row r="41" spans="1:5" ht="14.25" customHeight="1" x14ac:dyDescent="0.35">
      <c r="A41" s="1"/>
      <c r="B41" s="1"/>
      <c r="C41" s="1"/>
      <c r="D41" s="2"/>
      <c r="E41" s="1"/>
    </row>
    <row r="42" spans="1:5" ht="14.25" customHeight="1" x14ac:dyDescent="0.35">
      <c r="A42" s="1"/>
      <c r="B42" s="1"/>
      <c r="C42" s="1"/>
      <c r="D42" s="2"/>
      <c r="E42" s="1"/>
    </row>
    <row r="43" spans="1:5" ht="14.25" customHeight="1" x14ac:dyDescent="0.35">
      <c r="A43" s="1"/>
      <c r="B43" s="1"/>
      <c r="C43" s="1"/>
      <c r="D43" s="2"/>
      <c r="E43" s="1"/>
    </row>
    <row r="44" spans="1:5" ht="14.25" customHeight="1" x14ac:dyDescent="0.35">
      <c r="A44" s="1"/>
      <c r="B44" s="1"/>
      <c r="C44" s="1"/>
      <c r="D44" s="2"/>
      <c r="E44" s="1"/>
    </row>
    <row r="45" spans="1:5" ht="14.25" customHeight="1" x14ac:dyDescent="0.35">
      <c r="A45" s="1"/>
      <c r="B45" s="1"/>
      <c r="C45" s="1"/>
      <c r="D45" s="2"/>
      <c r="E45" s="1"/>
    </row>
    <row r="46" spans="1:5" ht="14.25" customHeight="1" x14ac:dyDescent="0.35">
      <c r="A46" s="1"/>
      <c r="B46" s="1"/>
      <c r="C46" s="1"/>
      <c r="D46" s="2"/>
      <c r="E46" s="1"/>
    </row>
    <row r="47" spans="1:5" ht="14.25" customHeight="1" x14ac:dyDescent="0.35">
      <c r="A47" s="1"/>
      <c r="B47" s="1"/>
      <c r="C47" s="1"/>
      <c r="D47" s="2"/>
      <c r="E47" s="1"/>
    </row>
    <row r="48" spans="1:5" ht="14.25" customHeight="1" x14ac:dyDescent="0.35">
      <c r="A48" s="1"/>
      <c r="B48" s="1"/>
      <c r="C48" s="1"/>
      <c r="D48" s="2"/>
      <c r="E48" s="1"/>
    </row>
    <row r="49" spans="1:5" ht="14.25" customHeight="1" x14ac:dyDescent="0.35">
      <c r="A49" s="1"/>
      <c r="B49" s="1"/>
      <c r="C49" s="1"/>
      <c r="D49" s="2"/>
      <c r="E49" s="1"/>
    </row>
    <row r="50" spans="1:5" ht="14.25" customHeight="1" x14ac:dyDescent="0.35">
      <c r="A50" s="1"/>
      <c r="B50" s="1"/>
      <c r="C50" s="1"/>
      <c r="D50" s="2"/>
      <c r="E50" s="1"/>
    </row>
    <row r="51" spans="1:5" ht="14.25" customHeight="1" x14ac:dyDescent="0.35">
      <c r="A51" s="1"/>
      <c r="B51" s="1"/>
      <c r="C51" s="1"/>
      <c r="D51" s="2"/>
      <c r="E51" s="1"/>
    </row>
    <row r="52" spans="1:5" ht="14.25" customHeight="1" x14ac:dyDescent="0.35">
      <c r="A52" s="1"/>
      <c r="B52" s="1"/>
      <c r="C52" s="1"/>
      <c r="D52" s="2"/>
      <c r="E52" s="1"/>
    </row>
    <row r="53" spans="1:5" ht="14.25" customHeight="1" x14ac:dyDescent="0.35">
      <c r="A53" s="1"/>
      <c r="B53" s="1"/>
      <c r="C53" s="1"/>
      <c r="D53" s="2"/>
      <c r="E53" s="1"/>
    </row>
    <row r="54" spans="1:5" ht="14.25" customHeight="1" x14ac:dyDescent="0.35">
      <c r="A54" s="1"/>
      <c r="B54" s="1"/>
      <c r="C54" s="1"/>
      <c r="D54" s="2"/>
      <c r="E54" s="1"/>
    </row>
    <row r="55" spans="1:5" ht="14.25" customHeight="1" x14ac:dyDescent="0.35">
      <c r="A55" s="1"/>
      <c r="B55" s="1"/>
      <c r="C55" s="1"/>
      <c r="D55" s="2"/>
      <c r="E55" s="1"/>
    </row>
    <row r="56" spans="1:5" ht="14.25" customHeight="1" x14ac:dyDescent="0.35">
      <c r="A56" s="1"/>
      <c r="B56" s="1"/>
      <c r="C56" s="1"/>
      <c r="D56" s="2"/>
      <c r="E56" s="1"/>
    </row>
    <row r="57" spans="1:5" ht="14.25" customHeight="1" x14ac:dyDescent="0.35">
      <c r="A57" s="1"/>
      <c r="B57" s="1"/>
      <c r="C57" s="1"/>
      <c r="D57" s="2"/>
      <c r="E57" s="1"/>
    </row>
    <row r="58" spans="1:5" ht="14.25" customHeight="1" x14ac:dyDescent="0.35">
      <c r="A58" s="1"/>
      <c r="B58" s="1"/>
      <c r="C58" s="1"/>
      <c r="D58" s="2"/>
      <c r="E58" s="1"/>
    </row>
    <row r="59" spans="1:5" ht="14.25" customHeight="1" x14ac:dyDescent="0.35">
      <c r="A59" s="1"/>
      <c r="B59" s="1"/>
      <c r="C59" s="1"/>
      <c r="D59" s="2"/>
      <c r="E59" s="1"/>
    </row>
    <row r="60" spans="1:5" ht="14.25" customHeight="1" x14ac:dyDescent="0.35">
      <c r="A60" s="1"/>
      <c r="B60" s="1"/>
      <c r="C60" s="1"/>
      <c r="D60" s="2"/>
      <c r="E60" s="1"/>
    </row>
    <row r="61" spans="1:5" ht="14.25" customHeight="1" x14ac:dyDescent="0.35">
      <c r="A61" s="1"/>
      <c r="B61" s="1"/>
      <c r="C61" s="1"/>
      <c r="D61" s="2"/>
      <c r="E61" s="1"/>
    </row>
    <row r="62" spans="1:5" ht="14.25" customHeight="1" x14ac:dyDescent="0.35">
      <c r="A62" s="1"/>
      <c r="B62" s="1"/>
      <c r="C62" s="1"/>
      <c r="D62" s="2"/>
      <c r="E62" s="1"/>
    </row>
    <row r="63" spans="1:5" ht="14.25" customHeight="1" x14ac:dyDescent="0.35">
      <c r="A63" s="1"/>
      <c r="B63" s="1"/>
      <c r="C63" s="1"/>
      <c r="D63" s="2"/>
      <c r="E63" s="1"/>
    </row>
    <row r="64" spans="1:5" ht="14.25" customHeight="1" x14ac:dyDescent="0.35">
      <c r="A64" s="1"/>
      <c r="B64" s="1"/>
      <c r="C64" s="1"/>
      <c r="D64" s="2"/>
      <c r="E64" s="1"/>
    </row>
    <row r="65" spans="1:5" ht="14.25" customHeight="1" x14ac:dyDescent="0.35">
      <c r="A65" s="1"/>
      <c r="B65" s="1"/>
      <c r="C65" s="1"/>
      <c r="D65" s="2"/>
      <c r="E65" s="1"/>
    </row>
    <row r="66" spans="1:5" ht="14.25" customHeight="1" x14ac:dyDescent="0.35">
      <c r="A66" s="1"/>
      <c r="B66" s="1"/>
      <c r="C66" s="1"/>
      <c r="D66" s="2"/>
      <c r="E66" s="1"/>
    </row>
    <row r="67" spans="1:5" ht="14.25" customHeight="1" x14ac:dyDescent="0.35">
      <c r="A67" s="1"/>
      <c r="B67" s="1"/>
      <c r="C67" s="1"/>
      <c r="D67" s="2"/>
      <c r="E67" s="1"/>
    </row>
    <row r="68" spans="1:5" ht="14.25" customHeight="1" x14ac:dyDescent="0.35">
      <c r="A68" s="1"/>
      <c r="B68" s="1"/>
      <c r="C68" s="1"/>
      <c r="D68" s="2"/>
      <c r="E68" s="1"/>
    </row>
    <row r="69" spans="1:5" ht="14.25" customHeight="1" x14ac:dyDescent="0.35">
      <c r="A69" s="1"/>
      <c r="B69" s="1"/>
      <c r="C69" s="1"/>
      <c r="D69" s="2"/>
      <c r="E69" s="1"/>
    </row>
    <row r="70" spans="1:5" ht="14.25" customHeight="1" x14ac:dyDescent="0.35">
      <c r="A70" s="1"/>
      <c r="B70" s="1"/>
      <c r="C70" s="1"/>
      <c r="D70" s="2"/>
      <c r="E70" s="1"/>
    </row>
    <row r="71" spans="1:5" ht="14.25" customHeight="1" x14ac:dyDescent="0.35">
      <c r="A71" s="1"/>
      <c r="B71" s="1"/>
      <c r="C71" s="1"/>
      <c r="D71" s="2"/>
      <c r="E71" s="1"/>
    </row>
    <row r="72" spans="1:5" ht="14.25" customHeight="1" x14ac:dyDescent="0.35">
      <c r="A72" s="1"/>
      <c r="B72" s="1"/>
      <c r="C72" s="1"/>
      <c r="D72" s="2"/>
      <c r="E72" s="1"/>
    </row>
    <row r="73" spans="1:5" ht="14.25" customHeight="1" x14ac:dyDescent="0.35">
      <c r="A73" s="1"/>
      <c r="B73" s="1"/>
      <c r="C73" s="1"/>
      <c r="D73" s="2"/>
      <c r="E73" s="1"/>
    </row>
    <row r="74" spans="1:5" ht="14.25" customHeight="1" x14ac:dyDescent="0.35">
      <c r="A74" s="1"/>
      <c r="B74" s="1"/>
      <c r="C74" s="1"/>
      <c r="D74" s="2"/>
      <c r="E74" s="1"/>
    </row>
    <row r="75" spans="1:5" ht="14.25" customHeight="1" x14ac:dyDescent="0.35">
      <c r="A75" s="1"/>
      <c r="B75" s="1"/>
      <c r="C75" s="1"/>
      <c r="D75" s="2"/>
      <c r="E75" s="1"/>
    </row>
    <row r="76" spans="1:5" ht="14.25" customHeight="1" x14ac:dyDescent="0.35">
      <c r="A76" s="1"/>
      <c r="B76" s="1"/>
      <c r="C76" s="1"/>
      <c r="D76" s="2"/>
      <c r="E76" s="1"/>
    </row>
    <row r="77" spans="1:5" ht="14.25" customHeight="1" x14ac:dyDescent="0.35">
      <c r="A77" s="1"/>
      <c r="B77" s="1"/>
      <c r="C77" s="1"/>
      <c r="D77" s="2"/>
      <c r="E77" s="1"/>
    </row>
    <row r="78" spans="1:5" ht="14.25" customHeight="1" x14ac:dyDescent="0.35">
      <c r="A78" s="1"/>
      <c r="B78" s="1"/>
      <c r="C78" s="1"/>
      <c r="D78" s="2"/>
      <c r="E78" s="1"/>
    </row>
    <row r="79" spans="1:5" ht="14.25" customHeight="1" x14ac:dyDescent="0.35">
      <c r="A79" s="1"/>
      <c r="B79" s="1"/>
      <c r="C79" s="1"/>
      <c r="D79" s="2"/>
      <c r="E79" s="1"/>
    </row>
    <row r="80" spans="1:5" ht="14.25" customHeight="1" x14ac:dyDescent="0.35">
      <c r="A80" s="1"/>
      <c r="B80" s="1"/>
      <c r="C80" s="1"/>
      <c r="D80" s="2"/>
      <c r="E80" s="1"/>
    </row>
    <row r="81" spans="1:5" ht="14.25" customHeight="1" x14ac:dyDescent="0.35">
      <c r="A81" s="1"/>
      <c r="B81" s="1"/>
      <c r="C81" s="1"/>
      <c r="D81" s="2"/>
      <c r="E81" s="1"/>
    </row>
    <row r="82" spans="1:5" ht="14.25" customHeight="1" x14ac:dyDescent="0.35">
      <c r="A82" s="1"/>
      <c r="B82" s="1"/>
      <c r="C82" s="1"/>
      <c r="D82" s="2"/>
      <c r="E82" s="1"/>
    </row>
    <row r="83" spans="1:5" ht="14.25" customHeight="1" x14ac:dyDescent="0.35">
      <c r="A83" s="1"/>
      <c r="B83" s="1"/>
      <c r="C83" s="1"/>
      <c r="D83" s="2"/>
      <c r="E83" s="1"/>
    </row>
    <row r="84" spans="1:5" ht="14.25" customHeight="1" x14ac:dyDescent="0.35">
      <c r="A84" s="1"/>
      <c r="B84" s="1"/>
      <c r="C84" s="1"/>
      <c r="D84" s="2"/>
      <c r="E84" s="1"/>
    </row>
    <row r="85" spans="1:5" ht="14.25" customHeight="1" x14ac:dyDescent="0.35">
      <c r="A85" s="1"/>
      <c r="B85" s="1"/>
      <c r="C85" s="1"/>
      <c r="D85" s="2"/>
      <c r="E85" s="1"/>
    </row>
    <row r="86" spans="1:5" ht="14.25" customHeight="1" x14ac:dyDescent="0.35">
      <c r="A86" s="1"/>
      <c r="B86" s="1"/>
      <c r="C86" s="1"/>
      <c r="D86" s="2"/>
      <c r="E86" s="1"/>
    </row>
    <row r="87" spans="1:5" ht="14.25" customHeight="1" x14ac:dyDescent="0.35">
      <c r="A87" s="1"/>
      <c r="B87" s="1"/>
      <c r="C87" s="1"/>
      <c r="D87" s="2"/>
      <c r="E87" s="1"/>
    </row>
    <row r="88" spans="1:5" ht="14.25" customHeight="1" x14ac:dyDescent="0.35">
      <c r="A88" s="1"/>
      <c r="B88" s="1"/>
      <c r="C88" s="1"/>
      <c r="D88" s="2"/>
      <c r="E88" s="1"/>
    </row>
    <row r="89" spans="1:5" ht="14.25" customHeight="1" x14ac:dyDescent="0.35">
      <c r="A89" s="1"/>
      <c r="B89" s="1"/>
      <c r="C89" s="1"/>
      <c r="D89" s="2"/>
      <c r="E89" s="1"/>
    </row>
    <row r="90" spans="1:5" ht="14.25" customHeight="1" x14ac:dyDescent="0.35">
      <c r="A90" s="1"/>
      <c r="B90" s="1"/>
      <c r="C90" s="1"/>
      <c r="D90" s="2"/>
      <c r="E90" s="1"/>
    </row>
    <row r="91" spans="1:5" ht="14.25" customHeight="1" x14ac:dyDescent="0.35">
      <c r="A91" s="1"/>
      <c r="B91" s="1"/>
      <c r="C91" s="1"/>
      <c r="D91" s="2"/>
      <c r="E91" s="1"/>
    </row>
    <row r="92" spans="1:5" ht="14.25" customHeight="1" x14ac:dyDescent="0.35">
      <c r="A92" s="1"/>
      <c r="B92" s="1"/>
      <c r="C92" s="1"/>
      <c r="D92" s="2"/>
      <c r="E92" s="1"/>
    </row>
    <row r="93" spans="1:5" ht="14.25" customHeight="1" x14ac:dyDescent="0.35">
      <c r="A93" s="1"/>
      <c r="B93" s="1"/>
      <c r="C93" s="1"/>
      <c r="D93" s="2"/>
      <c r="E93" s="1"/>
    </row>
    <row r="94" spans="1:5" ht="14.25" customHeight="1" x14ac:dyDescent="0.35">
      <c r="A94" s="1"/>
      <c r="B94" s="1"/>
      <c r="C94" s="1"/>
      <c r="D94" s="2"/>
      <c r="E94" s="1"/>
    </row>
    <row r="95" spans="1:5" ht="14.25" customHeight="1" x14ac:dyDescent="0.35">
      <c r="A95" s="1"/>
      <c r="B95" s="1"/>
      <c r="C95" s="1"/>
      <c r="D95" s="2"/>
      <c r="E95" s="1"/>
    </row>
    <row r="96" spans="1:5" ht="14.25" customHeight="1" x14ac:dyDescent="0.35">
      <c r="A96" s="1"/>
      <c r="B96" s="1"/>
      <c r="C96" s="1"/>
      <c r="D96" s="2"/>
      <c r="E96" s="1"/>
    </row>
    <row r="97" spans="1:5" ht="14.25" customHeight="1" x14ac:dyDescent="0.35">
      <c r="A97" s="1"/>
      <c r="B97" s="1"/>
      <c r="C97" s="1"/>
      <c r="D97" s="2"/>
      <c r="E97" s="1"/>
    </row>
    <row r="98" spans="1:5" ht="14.25" customHeight="1" x14ac:dyDescent="0.35">
      <c r="A98" s="1"/>
      <c r="B98" s="1"/>
      <c r="C98" s="1"/>
      <c r="D98" s="2"/>
      <c r="E98" s="1"/>
    </row>
    <row r="99" spans="1:5" ht="14.25" customHeight="1" x14ac:dyDescent="0.35">
      <c r="A99" s="1"/>
      <c r="B99" s="1"/>
      <c r="C99" s="1"/>
      <c r="D99" s="2"/>
      <c r="E99" s="1"/>
    </row>
    <row r="100" spans="1:5" ht="14.25" customHeight="1" x14ac:dyDescent="0.35">
      <c r="A100" s="1"/>
      <c r="B100" s="1"/>
      <c r="C100" s="1"/>
      <c r="D100" s="2"/>
      <c r="E100" s="1"/>
    </row>
    <row r="101" spans="1:5" ht="14.25" customHeight="1" x14ac:dyDescent="0.35">
      <c r="A101" s="1"/>
      <c r="B101" s="1"/>
      <c r="C101" s="1"/>
      <c r="D101" s="2"/>
      <c r="E101" s="1"/>
    </row>
    <row r="102" spans="1:5" ht="14.25" customHeight="1" x14ac:dyDescent="0.35">
      <c r="A102" s="1"/>
      <c r="B102" s="1"/>
      <c r="C102" s="1"/>
      <c r="D102" s="2"/>
      <c r="E102" s="1"/>
    </row>
    <row r="103" spans="1:5" ht="14.25" customHeight="1" x14ac:dyDescent="0.35">
      <c r="A103" s="1"/>
      <c r="B103" s="1"/>
      <c r="C103" s="1"/>
      <c r="D103" s="2"/>
      <c r="E103" s="1"/>
    </row>
    <row r="104" spans="1:5" ht="14.25" customHeight="1" x14ac:dyDescent="0.35">
      <c r="A104" s="1"/>
      <c r="B104" s="1"/>
      <c r="C104" s="1"/>
      <c r="D104" s="2"/>
      <c r="E104" s="1"/>
    </row>
    <row r="105" spans="1:5" ht="14.25" customHeight="1" x14ac:dyDescent="0.35">
      <c r="A105" s="1"/>
      <c r="B105" s="1"/>
      <c r="C105" s="1"/>
      <c r="D105" s="2"/>
      <c r="E105" s="1"/>
    </row>
    <row r="106" spans="1:5" ht="14.25" customHeight="1" x14ac:dyDescent="0.35">
      <c r="A106" s="1"/>
      <c r="B106" s="1"/>
      <c r="C106" s="1"/>
      <c r="D106" s="2"/>
      <c r="E106" s="1"/>
    </row>
    <row r="107" spans="1:5" ht="14.25" customHeight="1" x14ac:dyDescent="0.35">
      <c r="A107" s="1"/>
      <c r="B107" s="1"/>
      <c r="C107" s="1"/>
      <c r="D107" s="2"/>
      <c r="E107" s="1"/>
    </row>
    <row r="108" spans="1:5" ht="14.25" customHeight="1" x14ac:dyDescent="0.35">
      <c r="A108" s="1"/>
      <c r="B108" s="1"/>
      <c r="C108" s="1"/>
      <c r="D108" s="2"/>
      <c r="E108" s="1"/>
    </row>
    <row r="109" spans="1:5" ht="14.25" customHeight="1" x14ac:dyDescent="0.35">
      <c r="A109" s="1"/>
      <c r="B109" s="1"/>
      <c r="C109" s="1"/>
      <c r="D109" s="2"/>
      <c r="E109" s="1"/>
    </row>
    <row r="110" spans="1:5" ht="14.25" customHeight="1" x14ac:dyDescent="0.35">
      <c r="A110" s="1"/>
      <c r="B110" s="1"/>
      <c r="C110" s="1"/>
      <c r="D110" s="2"/>
      <c r="E110" s="1"/>
    </row>
    <row r="111" spans="1:5" ht="14.25" customHeight="1" x14ac:dyDescent="0.35">
      <c r="A111" s="1"/>
      <c r="B111" s="1"/>
      <c r="C111" s="1"/>
      <c r="D111" s="2"/>
      <c r="E111" s="1"/>
    </row>
    <row r="112" spans="1:5" ht="14.25" customHeight="1" x14ac:dyDescent="0.35">
      <c r="A112" s="1"/>
      <c r="B112" s="1"/>
      <c r="C112" s="1"/>
      <c r="D112" s="2"/>
      <c r="E112" s="1"/>
    </row>
    <row r="113" spans="1:5" ht="14.25" customHeight="1" x14ac:dyDescent="0.35">
      <c r="A113" s="1"/>
      <c r="B113" s="1"/>
      <c r="C113" s="1"/>
      <c r="D113" s="2"/>
      <c r="E113" s="1"/>
    </row>
    <row r="114" spans="1:5" ht="14.25" customHeight="1" x14ac:dyDescent="0.35">
      <c r="A114" s="1"/>
      <c r="B114" s="1"/>
      <c r="C114" s="1"/>
      <c r="D114" s="2"/>
      <c r="E114" s="1"/>
    </row>
    <row r="115" spans="1:5" ht="14.25" customHeight="1" x14ac:dyDescent="0.35">
      <c r="A115" s="1"/>
      <c r="B115" s="1"/>
      <c r="C115" s="1"/>
      <c r="D115" s="2"/>
      <c r="E115" s="1"/>
    </row>
    <row r="116" spans="1:5" ht="14.25" customHeight="1" x14ac:dyDescent="0.35">
      <c r="A116" s="1"/>
      <c r="B116" s="1"/>
      <c r="C116" s="1"/>
      <c r="D116" s="2"/>
      <c r="E116" s="1"/>
    </row>
    <row r="117" spans="1:5" ht="14.25" customHeight="1" x14ac:dyDescent="0.35">
      <c r="A117" s="1"/>
      <c r="B117" s="1"/>
      <c r="C117" s="1"/>
      <c r="D117" s="2"/>
      <c r="E117" s="1"/>
    </row>
    <row r="118" spans="1:5" ht="14.25" customHeight="1" x14ac:dyDescent="0.35">
      <c r="A118" s="1"/>
      <c r="B118" s="1"/>
      <c r="C118" s="1"/>
      <c r="D118" s="2"/>
      <c r="E118" s="1"/>
    </row>
    <row r="119" spans="1:5" ht="14.25" customHeight="1" x14ac:dyDescent="0.35">
      <c r="A119" s="1"/>
      <c r="B119" s="1"/>
      <c r="C119" s="1"/>
      <c r="D119" s="2"/>
      <c r="E119" s="1"/>
    </row>
    <row r="120" spans="1:5" ht="14.25" customHeight="1" x14ac:dyDescent="0.35">
      <c r="A120" s="1"/>
      <c r="B120" s="1"/>
      <c r="C120" s="1"/>
      <c r="D120" s="2"/>
      <c r="E120" s="1"/>
    </row>
    <row r="121" spans="1:5" ht="14.25" customHeight="1" x14ac:dyDescent="0.35">
      <c r="A121" s="1"/>
      <c r="B121" s="1"/>
      <c r="C121" s="1"/>
      <c r="D121" s="2"/>
      <c r="E121" s="1"/>
    </row>
    <row r="122" spans="1:5" ht="14.25" customHeight="1" x14ac:dyDescent="0.35">
      <c r="A122" s="1"/>
      <c r="B122" s="1"/>
      <c r="C122" s="1"/>
      <c r="D122" s="2"/>
      <c r="E122" s="1"/>
    </row>
    <row r="123" spans="1:5" ht="14.25" customHeight="1" x14ac:dyDescent="0.35">
      <c r="A123" s="1"/>
      <c r="B123" s="1"/>
      <c r="C123" s="1"/>
      <c r="D123" s="2"/>
      <c r="E123" s="1"/>
    </row>
    <row r="124" spans="1:5" ht="14.25" customHeight="1" x14ac:dyDescent="0.35">
      <c r="A124" s="1"/>
      <c r="B124" s="1"/>
      <c r="C124" s="1"/>
      <c r="D124" s="2"/>
      <c r="E124" s="1"/>
    </row>
    <row r="125" spans="1:5" ht="14.25" customHeight="1" x14ac:dyDescent="0.35">
      <c r="A125" s="1"/>
      <c r="B125" s="1"/>
      <c r="C125" s="1"/>
      <c r="D125" s="2"/>
      <c r="E125" s="1"/>
    </row>
    <row r="126" spans="1:5" ht="14.25" customHeight="1" x14ac:dyDescent="0.35">
      <c r="A126" s="1"/>
      <c r="B126" s="1"/>
      <c r="C126" s="1"/>
      <c r="D126" s="2"/>
      <c r="E126" s="1"/>
    </row>
    <row r="127" spans="1:5" ht="14.25" customHeight="1" x14ac:dyDescent="0.35">
      <c r="A127" s="1"/>
      <c r="B127" s="1"/>
      <c r="C127" s="1"/>
      <c r="D127" s="2"/>
      <c r="E127" s="1"/>
    </row>
    <row r="128" spans="1:5" ht="14.25" customHeight="1" x14ac:dyDescent="0.35">
      <c r="A128" s="1"/>
      <c r="B128" s="1"/>
      <c r="C128" s="1"/>
      <c r="D128" s="2"/>
      <c r="E128" s="1"/>
    </row>
    <row r="129" spans="1:5" ht="14.25" customHeight="1" x14ac:dyDescent="0.35">
      <c r="A129" s="1"/>
      <c r="B129" s="1"/>
      <c r="C129" s="1"/>
      <c r="D129" s="2"/>
      <c r="E129" s="1"/>
    </row>
    <row r="130" spans="1:5" ht="14.25" customHeight="1" x14ac:dyDescent="0.35">
      <c r="A130" s="1"/>
      <c r="B130" s="1"/>
      <c r="C130" s="1"/>
      <c r="D130" s="2"/>
      <c r="E130" s="1"/>
    </row>
    <row r="131" spans="1:5" ht="14.25" customHeight="1" x14ac:dyDescent="0.35">
      <c r="A131" s="1"/>
      <c r="B131" s="1"/>
      <c r="C131" s="1"/>
      <c r="D131" s="2"/>
      <c r="E131" s="1"/>
    </row>
    <row r="132" spans="1:5" ht="14.25" customHeight="1" x14ac:dyDescent="0.35">
      <c r="A132" s="1"/>
      <c r="B132" s="1"/>
      <c r="C132" s="1"/>
      <c r="D132" s="2"/>
      <c r="E132" s="1"/>
    </row>
    <row r="133" spans="1:5" ht="14.25" customHeight="1" x14ac:dyDescent="0.35">
      <c r="A133" s="1"/>
      <c r="B133" s="1"/>
      <c r="C133" s="1"/>
      <c r="D133" s="2"/>
      <c r="E133" s="1"/>
    </row>
    <row r="134" spans="1:5" ht="14.25" customHeight="1" x14ac:dyDescent="0.35">
      <c r="A134" s="1"/>
      <c r="B134" s="1"/>
      <c r="C134" s="1"/>
      <c r="D134" s="2"/>
      <c r="E134" s="1"/>
    </row>
    <row r="135" spans="1:5" ht="14.25" customHeight="1" x14ac:dyDescent="0.35">
      <c r="A135" s="1"/>
      <c r="B135" s="1"/>
      <c r="C135" s="1"/>
      <c r="D135" s="2"/>
      <c r="E135" s="1"/>
    </row>
    <row r="136" spans="1:5" ht="14.25" customHeight="1" x14ac:dyDescent="0.35">
      <c r="A136" s="1"/>
      <c r="B136" s="1"/>
      <c r="C136" s="1"/>
      <c r="D136" s="2"/>
      <c r="E136" s="1"/>
    </row>
    <row r="137" spans="1:5" ht="14.25" customHeight="1" x14ac:dyDescent="0.35">
      <c r="A137" s="1"/>
      <c r="B137" s="1"/>
      <c r="C137" s="1"/>
      <c r="D137" s="2"/>
      <c r="E137" s="1"/>
    </row>
    <row r="138" spans="1:5" ht="14.25" customHeight="1" x14ac:dyDescent="0.35">
      <c r="A138" s="1"/>
      <c r="B138" s="1"/>
      <c r="C138" s="1"/>
      <c r="D138" s="2"/>
      <c r="E138" s="1"/>
    </row>
    <row r="139" spans="1:5" ht="14.25" customHeight="1" x14ac:dyDescent="0.35">
      <c r="A139" s="1"/>
      <c r="B139" s="1"/>
      <c r="C139" s="1"/>
      <c r="D139" s="2"/>
      <c r="E139" s="1"/>
    </row>
    <row r="140" spans="1:5" ht="14.25" customHeight="1" x14ac:dyDescent="0.35">
      <c r="A140" s="1"/>
      <c r="B140" s="1"/>
      <c r="C140" s="1"/>
      <c r="D140" s="2"/>
      <c r="E140" s="1"/>
    </row>
    <row r="141" spans="1:5" ht="14.25" customHeight="1" x14ac:dyDescent="0.35">
      <c r="A141" s="1"/>
      <c r="B141" s="1"/>
      <c r="C141" s="1"/>
      <c r="D141" s="2"/>
      <c r="E141" s="1"/>
    </row>
    <row r="142" spans="1:5" ht="14.25" customHeight="1" x14ac:dyDescent="0.35">
      <c r="A142" s="1"/>
      <c r="B142" s="1"/>
      <c r="C142" s="1"/>
      <c r="D142" s="2"/>
      <c r="E142" s="1"/>
    </row>
    <row r="143" spans="1:5" ht="14.25" customHeight="1" x14ac:dyDescent="0.35">
      <c r="A143" s="1"/>
      <c r="B143" s="1"/>
      <c r="C143" s="1"/>
      <c r="D143" s="2"/>
      <c r="E143" s="1"/>
    </row>
    <row r="144" spans="1:5" ht="14.25" customHeight="1" x14ac:dyDescent="0.35">
      <c r="A144" s="1"/>
      <c r="B144" s="1"/>
      <c r="C144" s="1"/>
      <c r="D144" s="2"/>
      <c r="E144" s="1"/>
    </row>
    <row r="145" spans="1:5" ht="14.25" customHeight="1" x14ac:dyDescent="0.35">
      <c r="A145" s="1"/>
      <c r="B145" s="1"/>
      <c r="C145" s="1"/>
      <c r="D145" s="2"/>
      <c r="E145" s="1"/>
    </row>
    <row r="146" spans="1:5" ht="14.25" customHeight="1" x14ac:dyDescent="0.35">
      <c r="A146" s="1"/>
      <c r="B146" s="1"/>
      <c r="C146" s="1"/>
      <c r="D146" s="2"/>
      <c r="E146" s="1"/>
    </row>
    <row r="147" spans="1:5" ht="14.25" customHeight="1" x14ac:dyDescent="0.35">
      <c r="A147" s="1"/>
      <c r="B147" s="1"/>
      <c r="C147" s="1"/>
      <c r="D147" s="2"/>
      <c r="E147" s="1"/>
    </row>
    <row r="148" spans="1:5" ht="14.25" customHeight="1" x14ac:dyDescent="0.35">
      <c r="A148" s="1"/>
      <c r="B148" s="1"/>
      <c r="C148" s="1"/>
      <c r="D148" s="2"/>
      <c r="E148" s="1"/>
    </row>
    <row r="149" spans="1:5" ht="14.25" customHeight="1" x14ac:dyDescent="0.35">
      <c r="A149" s="1"/>
      <c r="B149" s="1"/>
      <c r="C149" s="1"/>
      <c r="D149" s="2"/>
      <c r="E149" s="1"/>
    </row>
    <row r="150" spans="1:5" ht="14.25" customHeight="1" x14ac:dyDescent="0.35">
      <c r="A150" s="1"/>
      <c r="B150" s="1"/>
      <c r="C150" s="1"/>
      <c r="D150" s="2"/>
      <c r="E150" s="1"/>
    </row>
    <row r="151" spans="1:5" ht="14.25" customHeight="1" x14ac:dyDescent="0.35">
      <c r="A151" s="1"/>
      <c r="B151" s="1"/>
      <c r="C151" s="1"/>
      <c r="D151" s="2"/>
      <c r="E151" s="1"/>
    </row>
    <row r="152" spans="1:5" ht="14.25" customHeight="1" x14ac:dyDescent="0.35">
      <c r="A152" s="1"/>
      <c r="B152" s="1"/>
      <c r="C152" s="1"/>
      <c r="D152" s="2"/>
      <c r="E152" s="1"/>
    </row>
    <row r="153" spans="1:5" ht="14.25" customHeight="1" x14ac:dyDescent="0.35">
      <c r="A153" s="1"/>
      <c r="B153" s="1"/>
      <c r="C153" s="1"/>
      <c r="D153" s="2"/>
      <c r="E153" s="1"/>
    </row>
    <row r="154" spans="1:5" ht="14.25" customHeight="1" x14ac:dyDescent="0.35">
      <c r="A154" s="1"/>
      <c r="B154" s="1"/>
      <c r="C154" s="1"/>
      <c r="D154" s="2"/>
      <c r="E154" s="1"/>
    </row>
    <row r="155" spans="1:5" ht="14.25" customHeight="1" x14ac:dyDescent="0.35">
      <c r="A155" s="1"/>
      <c r="B155" s="1"/>
      <c r="C155" s="1"/>
      <c r="D155" s="2"/>
      <c r="E155" s="1"/>
    </row>
    <row r="156" spans="1:5" ht="14.25" customHeight="1" x14ac:dyDescent="0.35">
      <c r="A156" s="1"/>
      <c r="B156" s="1"/>
      <c r="C156" s="1"/>
      <c r="D156" s="2"/>
      <c r="E156" s="1"/>
    </row>
    <row r="157" spans="1:5" ht="14.25" customHeight="1" x14ac:dyDescent="0.35">
      <c r="A157" s="1"/>
      <c r="B157" s="1"/>
      <c r="C157" s="1"/>
      <c r="D157" s="2"/>
      <c r="E157" s="1"/>
    </row>
    <row r="158" spans="1:5" ht="14.25" customHeight="1" x14ac:dyDescent="0.35">
      <c r="A158" s="1"/>
      <c r="B158" s="1"/>
      <c r="C158" s="1"/>
      <c r="D158" s="2"/>
      <c r="E158" s="1"/>
    </row>
    <row r="159" spans="1:5" ht="14.25" customHeight="1" x14ac:dyDescent="0.35">
      <c r="A159" s="1"/>
      <c r="B159" s="1"/>
      <c r="C159" s="1"/>
      <c r="D159" s="2"/>
      <c r="E159" s="1"/>
    </row>
    <row r="160" spans="1:5" ht="14.25" customHeight="1" x14ac:dyDescent="0.35">
      <c r="A160" s="1"/>
      <c r="B160" s="1"/>
      <c r="C160" s="1"/>
      <c r="D160" s="2"/>
      <c r="E160" s="1"/>
    </row>
    <row r="161" spans="1:5" ht="14.25" customHeight="1" x14ac:dyDescent="0.35">
      <c r="A161" s="1"/>
      <c r="B161" s="1"/>
      <c r="C161" s="1"/>
      <c r="D161" s="2"/>
      <c r="E161" s="1"/>
    </row>
    <row r="162" spans="1:5" ht="14.25" customHeight="1" x14ac:dyDescent="0.35">
      <c r="A162" s="1"/>
      <c r="B162" s="1"/>
      <c r="C162" s="1"/>
      <c r="D162" s="2"/>
      <c r="E162" s="1"/>
    </row>
    <row r="163" spans="1:5" ht="14.25" customHeight="1" x14ac:dyDescent="0.35">
      <c r="A163" s="1"/>
      <c r="B163" s="1"/>
      <c r="C163" s="1"/>
      <c r="D163" s="2"/>
      <c r="E163" s="1"/>
    </row>
    <row r="164" spans="1:5" ht="14.25" customHeight="1" x14ac:dyDescent="0.35">
      <c r="A164" s="1"/>
      <c r="B164" s="1"/>
      <c r="C164" s="1"/>
      <c r="D164" s="2"/>
      <c r="E164" s="1"/>
    </row>
    <row r="165" spans="1:5" ht="14.25" customHeight="1" x14ac:dyDescent="0.35">
      <c r="A165" s="1"/>
      <c r="B165" s="1"/>
      <c r="C165" s="1"/>
      <c r="D165" s="2"/>
      <c r="E165" s="1"/>
    </row>
    <row r="166" spans="1:5" ht="14.25" customHeight="1" x14ac:dyDescent="0.35">
      <c r="A166" s="1"/>
      <c r="B166" s="1"/>
      <c r="C166" s="1"/>
      <c r="D166" s="2"/>
      <c r="E166" s="1"/>
    </row>
    <row r="167" spans="1:5" ht="14.25" customHeight="1" x14ac:dyDescent="0.35">
      <c r="A167" s="1"/>
      <c r="B167" s="1"/>
      <c r="C167" s="1"/>
      <c r="D167" s="2"/>
      <c r="E167" s="1"/>
    </row>
    <row r="168" spans="1:5" ht="14.25" customHeight="1" x14ac:dyDescent="0.35">
      <c r="A168" s="1"/>
      <c r="B168" s="1"/>
      <c r="C168" s="1"/>
      <c r="D168" s="2"/>
      <c r="E168" s="1"/>
    </row>
    <row r="169" spans="1:5" ht="14.25" customHeight="1" x14ac:dyDescent="0.35">
      <c r="A169" s="1"/>
      <c r="B169" s="1"/>
      <c r="C169" s="1"/>
      <c r="D169" s="2"/>
      <c r="E169" s="1"/>
    </row>
    <row r="170" spans="1:5" ht="14.25" customHeight="1" x14ac:dyDescent="0.35">
      <c r="A170" s="1"/>
      <c r="B170" s="1"/>
      <c r="C170" s="1"/>
      <c r="D170" s="2"/>
      <c r="E170" s="1"/>
    </row>
    <row r="171" spans="1:5" ht="14.25" customHeight="1" x14ac:dyDescent="0.35">
      <c r="A171" s="1"/>
      <c r="B171" s="1"/>
      <c r="C171" s="1"/>
      <c r="D171" s="2"/>
      <c r="E171" s="1"/>
    </row>
    <row r="172" spans="1:5" ht="14.25" customHeight="1" x14ac:dyDescent="0.35">
      <c r="A172" s="1"/>
      <c r="B172" s="1"/>
      <c r="C172" s="1"/>
      <c r="D172" s="2"/>
      <c r="E172" s="1"/>
    </row>
    <row r="173" spans="1:5" ht="14.25" customHeight="1" x14ac:dyDescent="0.35">
      <c r="A173" s="1"/>
      <c r="B173" s="1"/>
      <c r="C173" s="1"/>
      <c r="D173" s="2"/>
      <c r="E173" s="1"/>
    </row>
    <row r="174" spans="1:5" ht="14.25" customHeight="1" x14ac:dyDescent="0.35">
      <c r="A174" s="1"/>
      <c r="B174" s="1"/>
      <c r="C174" s="1"/>
      <c r="D174" s="2"/>
      <c r="E174" s="1"/>
    </row>
    <row r="175" spans="1:5" ht="14.25" customHeight="1" x14ac:dyDescent="0.35">
      <c r="A175" s="1"/>
      <c r="B175" s="1"/>
      <c r="C175" s="1"/>
      <c r="D175" s="2"/>
      <c r="E175" s="1"/>
    </row>
    <row r="176" spans="1:5" ht="14.25" customHeight="1" x14ac:dyDescent="0.35">
      <c r="A176" s="1"/>
      <c r="B176" s="1"/>
      <c r="C176" s="1"/>
      <c r="D176" s="2"/>
      <c r="E176" s="1"/>
    </row>
    <row r="177" spans="1:5" ht="14.25" customHeight="1" x14ac:dyDescent="0.35">
      <c r="A177" s="1"/>
      <c r="B177" s="1"/>
      <c r="C177" s="1"/>
      <c r="D177" s="2"/>
      <c r="E177" s="1"/>
    </row>
    <row r="178" spans="1:5" ht="14.25" customHeight="1" x14ac:dyDescent="0.35">
      <c r="A178" s="1"/>
      <c r="B178" s="1"/>
      <c r="C178" s="1"/>
      <c r="D178" s="2"/>
      <c r="E178" s="1"/>
    </row>
    <row r="179" spans="1:5" ht="14.25" customHeight="1" x14ac:dyDescent="0.35">
      <c r="A179" s="1"/>
      <c r="B179" s="1"/>
      <c r="C179" s="1"/>
      <c r="D179" s="2"/>
      <c r="E179" s="1"/>
    </row>
    <row r="180" spans="1:5" ht="14.25" customHeight="1" x14ac:dyDescent="0.35">
      <c r="A180" s="1"/>
      <c r="B180" s="1"/>
      <c r="C180" s="1"/>
      <c r="D180" s="2"/>
      <c r="E180" s="1"/>
    </row>
    <row r="181" spans="1:5" ht="14.25" customHeight="1" x14ac:dyDescent="0.35">
      <c r="A181" s="1"/>
      <c r="B181" s="1"/>
      <c r="C181" s="1"/>
      <c r="D181" s="2"/>
      <c r="E181" s="1"/>
    </row>
    <row r="182" spans="1:5" ht="14.25" customHeight="1" x14ac:dyDescent="0.35">
      <c r="A182" s="1"/>
      <c r="B182" s="1"/>
      <c r="C182" s="1"/>
      <c r="D182" s="2"/>
      <c r="E182" s="1"/>
    </row>
    <row r="183" spans="1:5" ht="14.25" customHeight="1" x14ac:dyDescent="0.35">
      <c r="A183" s="1"/>
      <c r="B183" s="1"/>
      <c r="C183" s="1"/>
      <c r="D183" s="2"/>
      <c r="E183" s="1"/>
    </row>
    <row r="184" spans="1:5" ht="14.25" customHeight="1" x14ac:dyDescent="0.35">
      <c r="A184" s="1"/>
      <c r="B184" s="1"/>
      <c r="C184" s="1"/>
      <c r="D184" s="2"/>
      <c r="E184" s="1"/>
    </row>
    <row r="185" spans="1:5" ht="14.25" customHeight="1" x14ac:dyDescent="0.35">
      <c r="A185" s="1"/>
      <c r="B185" s="1"/>
      <c r="C185" s="1"/>
      <c r="D185" s="2"/>
      <c r="E185" s="1"/>
    </row>
    <row r="186" spans="1:5" ht="14.25" customHeight="1" x14ac:dyDescent="0.35">
      <c r="A186" s="1"/>
      <c r="B186" s="1"/>
      <c r="C186" s="1"/>
      <c r="D186" s="2"/>
      <c r="E186" s="1"/>
    </row>
    <row r="187" spans="1:5" ht="14.25" customHeight="1" x14ac:dyDescent="0.35">
      <c r="A187" s="1"/>
      <c r="B187" s="1"/>
      <c r="C187" s="1"/>
      <c r="D187" s="2"/>
      <c r="E187" s="1"/>
    </row>
    <row r="188" spans="1:5" ht="14.25" customHeight="1" x14ac:dyDescent="0.35">
      <c r="A188" s="1"/>
      <c r="B188" s="1"/>
      <c r="C188" s="1"/>
      <c r="D188" s="2"/>
      <c r="E188" s="1"/>
    </row>
    <row r="189" spans="1:5" ht="14.25" customHeight="1" x14ac:dyDescent="0.35">
      <c r="A189" s="1"/>
      <c r="B189" s="1"/>
      <c r="C189" s="1"/>
      <c r="D189" s="2"/>
      <c r="E189" s="1"/>
    </row>
    <row r="190" spans="1:5" ht="14.25" customHeight="1" x14ac:dyDescent="0.35">
      <c r="A190" s="1"/>
      <c r="B190" s="1"/>
      <c r="C190" s="1"/>
      <c r="D190" s="2"/>
      <c r="E190" s="1"/>
    </row>
    <row r="191" spans="1:5" ht="14.25" customHeight="1" x14ac:dyDescent="0.35">
      <c r="A191" s="1"/>
      <c r="B191" s="1"/>
      <c r="C191" s="1"/>
      <c r="D191" s="2"/>
      <c r="E191" s="1"/>
    </row>
    <row r="192" spans="1:5" ht="14.25" customHeight="1" x14ac:dyDescent="0.35">
      <c r="A192" s="1"/>
      <c r="B192" s="1"/>
      <c r="C192" s="1"/>
      <c r="D192" s="2"/>
      <c r="E192" s="1"/>
    </row>
    <row r="193" spans="1:5" ht="14.25" customHeight="1" x14ac:dyDescent="0.35">
      <c r="A193" s="1"/>
      <c r="B193" s="1"/>
      <c r="C193" s="1"/>
      <c r="D193" s="2"/>
      <c r="E193" s="1"/>
    </row>
    <row r="194" spans="1:5" ht="14.25" customHeight="1" x14ac:dyDescent="0.35">
      <c r="A194" s="1"/>
      <c r="B194" s="1"/>
      <c r="C194" s="1"/>
      <c r="D194" s="2"/>
      <c r="E194" s="1"/>
    </row>
    <row r="195" spans="1:5" ht="14.25" customHeight="1" x14ac:dyDescent="0.35">
      <c r="A195" s="1"/>
      <c r="B195" s="1"/>
      <c r="C195" s="1"/>
      <c r="D195" s="2"/>
      <c r="E195" s="1"/>
    </row>
    <row r="196" spans="1:5" ht="14.25" customHeight="1" x14ac:dyDescent="0.35">
      <c r="A196" s="1"/>
      <c r="B196" s="1"/>
      <c r="C196" s="1"/>
      <c r="D196" s="2"/>
      <c r="E196" s="1"/>
    </row>
    <row r="197" spans="1:5" ht="14.25" customHeight="1" x14ac:dyDescent="0.35">
      <c r="A197" s="1"/>
      <c r="B197" s="1"/>
      <c r="C197" s="1"/>
      <c r="D197" s="2"/>
      <c r="E197" s="1"/>
    </row>
    <row r="198" spans="1:5" ht="14.25" customHeight="1" x14ac:dyDescent="0.35">
      <c r="A198" s="1"/>
      <c r="B198" s="1"/>
      <c r="C198" s="1"/>
      <c r="D198" s="2"/>
      <c r="E198" s="1"/>
    </row>
    <row r="199" spans="1:5" ht="14.25" customHeight="1" x14ac:dyDescent="0.35">
      <c r="A199" s="1"/>
      <c r="B199" s="1"/>
      <c r="C199" s="1"/>
      <c r="D199" s="2"/>
      <c r="E199" s="1"/>
    </row>
    <row r="200" spans="1:5" ht="14.25" customHeight="1" x14ac:dyDescent="0.35">
      <c r="A200" s="1"/>
      <c r="B200" s="1"/>
      <c r="C200" s="1"/>
      <c r="D200" s="2"/>
      <c r="E200" s="1"/>
    </row>
    <row r="201" spans="1:5" ht="14.25" customHeight="1" x14ac:dyDescent="0.35">
      <c r="A201" s="1"/>
      <c r="B201" s="1"/>
      <c r="C201" s="1"/>
      <c r="D201" s="2"/>
      <c r="E201" s="1"/>
    </row>
    <row r="202" spans="1:5" ht="14.25" customHeight="1" x14ac:dyDescent="0.35">
      <c r="A202" s="1"/>
      <c r="B202" s="1"/>
      <c r="C202" s="1"/>
      <c r="D202" s="2"/>
      <c r="E202" s="1"/>
    </row>
    <row r="203" spans="1:5" ht="14.25" customHeight="1" x14ac:dyDescent="0.35">
      <c r="A203" s="1"/>
      <c r="B203" s="1"/>
      <c r="C203" s="1"/>
      <c r="D203" s="2"/>
      <c r="E203" s="1"/>
    </row>
    <row r="204" spans="1:5" ht="14.25" customHeight="1" x14ac:dyDescent="0.35">
      <c r="A204" s="1"/>
      <c r="B204" s="1"/>
      <c r="C204" s="1"/>
      <c r="D204" s="2"/>
      <c r="E204" s="1"/>
    </row>
    <row r="205" spans="1:5" ht="14.25" customHeight="1" x14ac:dyDescent="0.35">
      <c r="A205" s="1"/>
      <c r="B205" s="1"/>
      <c r="C205" s="1"/>
      <c r="D205" s="2"/>
      <c r="E205" s="1"/>
    </row>
    <row r="206" spans="1:5" ht="14.25" customHeight="1" x14ac:dyDescent="0.35">
      <c r="A206" s="1"/>
      <c r="B206" s="1"/>
      <c r="C206" s="1"/>
      <c r="D206" s="2"/>
      <c r="E206" s="1"/>
    </row>
    <row r="207" spans="1:5" ht="14.25" customHeight="1" x14ac:dyDescent="0.35">
      <c r="A207" s="1"/>
      <c r="B207" s="1"/>
      <c r="C207" s="1"/>
      <c r="D207" s="2"/>
      <c r="E207" s="1"/>
    </row>
    <row r="208" spans="1:5" ht="14.25" customHeight="1" x14ac:dyDescent="0.35">
      <c r="A208" s="1"/>
      <c r="B208" s="1"/>
      <c r="C208" s="1"/>
      <c r="D208" s="2"/>
      <c r="E208" s="1"/>
    </row>
    <row r="209" spans="1:5" ht="14.25" customHeight="1" x14ac:dyDescent="0.35">
      <c r="A209" s="1"/>
      <c r="B209" s="1"/>
      <c r="C209" s="1"/>
      <c r="D209" s="2"/>
      <c r="E209" s="1"/>
    </row>
    <row r="210" spans="1:5" ht="14.25" customHeight="1" x14ac:dyDescent="0.35">
      <c r="A210" s="1"/>
      <c r="B210" s="1"/>
      <c r="C210" s="1"/>
      <c r="D210" s="2"/>
      <c r="E210" s="1"/>
    </row>
    <row r="211" spans="1:5" ht="14.25" customHeight="1" x14ac:dyDescent="0.35">
      <c r="A211" s="1"/>
      <c r="B211" s="1"/>
      <c r="C211" s="1"/>
      <c r="D211" s="2"/>
      <c r="E211" s="1"/>
    </row>
    <row r="212" spans="1:5" ht="14.25" customHeight="1" x14ac:dyDescent="0.35">
      <c r="A212" s="1"/>
      <c r="B212" s="1"/>
      <c r="C212" s="1"/>
      <c r="D212" s="2"/>
      <c r="E212" s="1"/>
    </row>
    <row r="213" spans="1:5" ht="14.25" customHeight="1" x14ac:dyDescent="0.35">
      <c r="A213" s="1"/>
      <c r="B213" s="1"/>
      <c r="C213" s="1"/>
      <c r="D213" s="2"/>
      <c r="E213" s="1"/>
    </row>
    <row r="214" spans="1:5" ht="14.25" customHeight="1" x14ac:dyDescent="0.35">
      <c r="A214" s="1"/>
      <c r="B214" s="1"/>
      <c r="C214" s="1"/>
      <c r="D214" s="2"/>
      <c r="E214" s="1"/>
    </row>
    <row r="215" spans="1:5" ht="14.25" customHeight="1" x14ac:dyDescent="0.35">
      <c r="A215" s="1"/>
      <c r="B215" s="1"/>
      <c r="C215" s="1"/>
      <c r="D215" s="2"/>
      <c r="E215" s="1"/>
    </row>
    <row r="216" spans="1:5" ht="14.25" customHeight="1" x14ac:dyDescent="0.35">
      <c r="A216" s="1"/>
      <c r="B216" s="1"/>
      <c r="C216" s="1"/>
      <c r="D216" s="2"/>
      <c r="E216" s="1"/>
    </row>
    <row r="217" spans="1:5" ht="14.25" customHeight="1" x14ac:dyDescent="0.35">
      <c r="A217" s="1"/>
      <c r="B217" s="1"/>
      <c r="C217" s="1"/>
      <c r="D217" s="2"/>
      <c r="E217" s="1"/>
    </row>
    <row r="218" spans="1:5" ht="14.25" customHeight="1" x14ac:dyDescent="0.35">
      <c r="A218" s="1"/>
      <c r="B218" s="1"/>
      <c r="C218" s="1"/>
      <c r="D218" s="2"/>
      <c r="E218" s="1"/>
    </row>
    <row r="219" spans="1:5" ht="14.25" customHeight="1" x14ac:dyDescent="0.35">
      <c r="A219" s="1"/>
      <c r="B219" s="1"/>
      <c r="C219" s="1"/>
      <c r="D219" s="2"/>
      <c r="E219" s="1"/>
    </row>
    <row r="220" spans="1:5" ht="14.25" customHeight="1" x14ac:dyDescent="0.35">
      <c r="A220" s="1"/>
      <c r="B220" s="1"/>
      <c r="C220" s="1"/>
      <c r="D220" s="2"/>
      <c r="E220" s="1"/>
    </row>
    <row r="221" spans="1:5" ht="14.25" customHeight="1" x14ac:dyDescent="0.35">
      <c r="A221" s="1"/>
      <c r="B221" s="1"/>
      <c r="C221" s="1"/>
      <c r="D221" s="2"/>
      <c r="E221" s="1"/>
    </row>
    <row r="222" spans="1:5" ht="14.25" customHeight="1" x14ac:dyDescent="0.35">
      <c r="A222" s="1"/>
      <c r="B222" s="1"/>
      <c r="C222" s="1"/>
      <c r="D222" s="2"/>
      <c r="E222" s="1"/>
    </row>
    <row r="223" spans="1:5" ht="14.25" customHeight="1" x14ac:dyDescent="0.35">
      <c r="A223" s="1"/>
      <c r="B223" s="1"/>
      <c r="C223" s="1"/>
      <c r="D223" s="2"/>
      <c r="E223" s="1"/>
    </row>
    <row r="224" spans="1:5" ht="14.25" customHeight="1" x14ac:dyDescent="0.35">
      <c r="A224" s="1"/>
      <c r="B224" s="1"/>
      <c r="C224" s="1"/>
      <c r="D224" s="2"/>
      <c r="E224" s="1"/>
    </row>
    <row r="225" spans="1:5" ht="14.25" customHeight="1" x14ac:dyDescent="0.35">
      <c r="A225" s="1"/>
      <c r="B225" s="1"/>
      <c r="C225" s="1"/>
      <c r="D225" s="2"/>
      <c r="E225" s="1"/>
    </row>
    <row r="226" spans="1:5" ht="14.25" customHeight="1" x14ac:dyDescent="0.35">
      <c r="A226" s="1"/>
      <c r="B226" s="1"/>
      <c r="C226" s="1"/>
      <c r="D226" s="2"/>
      <c r="E226" s="1"/>
    </row>
    <row r="227" spans="1:5" ht="14.25" customHeight="1" x14ac:dyDescent="0.35">
      <c r="A227" s="1"/>
      <c r="B227" s="1"/>
      <c r="C227" s="1"/>
      <c r="D227" s="2"/>
      <c r="E227" s="1"/>
    </row>
    <row r="228" spans="1:5" ht="14.25" customHeight="1" x14ac:dyDescent="0.35">
      <c r="A228" s="1"/>
      <c r="B228" s="1"/>
      <c r="C228" s="1"/>
      <c r="D228" s="2"/>
      <c r="E228" s="1"/>
    </row>
    <row r="229" spans="1:5" ht="14.25" customHeight="1" x14ac:dyDescent="0.35">
      <c r="A229" s="1"/>
      <c r="B229" s="1"/>
      <c r="C229" s="1"/>
      <c r="D229" s="2"/>
      <c r="E229" s="1"/>
    </row>
    <row r="230" spans="1:5" ht="14.25" customHeight="1" x14ac:dyDescent="0.35">
      <c r="A230" s="1"/>
      <c r="B230" s="1"/>
      <c r="C230" s="1"/>
      <c r="D230" s="2"/>
      <c r="E230" s="1"/>
    </row>
    <row r="231" spans="1:5" ht="14.25" customHeight="1" x14ac:dyDescent="0.35">
      <c r="A231" s="1"/>
      <c r="B231" s="1"/>
      <c r="C231" s="1"/>
      <c r="D231" s="2"/>
      <c r="E231" s="1"/>
    </row>
    <row r="232" spans="1:5" ht="14.25" customHeight="1" x14ac:dyDescent="0.35">
      <c r="A232" s="1"/>
      <c r="B232" s="1"/>
      <c r="C232" s="1"/>
      <c r="D232" s="2"/>
      <c r="E232" s="1"/>
    </row>
    <row r="233" spans="1:5" ht="14.25" customHeight="1" x14ac:dyDescent="0.35">
      <c r="A233" s="1"/>
      <c r="B233" s="1"/>
      <c r="C233" s="1"/>
      <c r="D233" s="2"/>
      <c r="E233" s="1"/>
    </row>
    <row r="234" spans="1:5" ht="14.25" customHeight="1" x14ac:dyDescent="0.35">
      <c r="A234" s="1"/>
      <c r="B234" s="1"/>
      <c r="C234" s="1"/>
      <c r="D234" s="2"/>
      <c r="E234" s="1"/>
    </row>
    <row r="235" spans="1:5" ht="14.25" customHeight="1" x14ac:dyDescent="0.35">
      <c r="A235" s="1"/>
      <c r="B235" s="1"/>
      <c r="C235" s="1"/>
      <c r="D235" s="2"/>
      <c r="E235" s="1"/>
    </row>
    <row r="236" spans="1:5" ht="14.25" customHeight="1" x14ac:dyDescent="0.35">
      <c r="A236" s="1"/>
      <c r="B236" s="1"/>
      <c r="C236" s="1"/>
      <c r="D236" s="2"/>
      <c r="E236" s="1"/>
    </row>
    <row r="237" spans="1:5" ht="14.25" customHeight="1" x14ac:dyDescent="0.35">
      <c r="A237" s="1"/>
      <c r="B237" s="1"/>
      <c r="C237" s="1"/>
      <c r="D237" s="2"/>
      <c r="E237" s="1"/>
    </row>
    <row r="238" spans="1:5" ht="14.25" customHeight="1" x14ac:dyDescent="0.35">
      <c r="A238" s="1"/>
      <c r="B238" s="1"/>
      <c r="C238" s="1"/>
      <c r="D238" s="2"/>
      <c r="E238" s="1"/>
    </row>
    <row r="239" spans="1:5" ht="14.25" customHeight="1" x14ac:dyDescent="0.35">
      <c r="A239" s="1"/>
      <c r="B239" s="1"/>
      <c r="C239" s="1"/>
      <c r="D239" s="2"/>
      <c r="E239" s="1"/>
    </row>
    <row r="240" spans="1:5" ht="14.25" customHeight="1" x14ac:dyDescent="0.35">
      <c r="A240" s="1"/>
      <c r="B240" s="1"/>
      <c r="C240" s="1"/>
      <c r="D240" s="2"/>
      <c r="E240" s="1"/>
    </row>
    <row r="241" spans="1:5" ht="14.25" customHeight="1" x14ac:dyDescent="0.35">
      <c r="A241" s="1"/>
      <c r="B241" s="1"/>
      <c r="C241" s="1"/>
      <c r="D241" s="2"/>
      <c r="E241" s="1"/>
    </row>
    <row r="242" spans="1:5" ht="14.25" customHeight="1" x14ac:dyDescent="0.35">
      <c r="A242" s="1"/>
      <c r="B242" s="1"/>
      <c r="C242" s="1"/>
      <c r="D242" s="2"/>
      <c r="E242" s="1"/>
    </row>
    <row r="243" spans="1:5" ht="14.25" customHeight="1" x14ac:dyDescent="0.35">
      <c r="A243" s="1"/>
      <c r="B243" s="1"/>
      <c r="C243" s="1"/>
      <c r="D243" s="2"/>
      <c r="E243" s="1"/>
    </row>
    <row r="244" spans="1:5" ht="14.25" customHeight="1" x14ac:dyDescent="0.35">
      <c r="A244" s="1"/>
      <c r="B244" s="1"/>
      <c r="C244" s="1"/>
      <c r="D244" s="2"/>
      <c r="E244" s="1"/>
    </row>
    <row r="245" spans="1:5" ht="14.25" customHeight="1" x14ac:dyDescent="0.35">
      <c r="A245" s="1"/>
      <c r="B245" s="1"/>
      <c r="C245" s="1"/>
      <c r="D245" s="2"/>
      <c r="E245" s="1"/>
    </row>
    <row r="246" spans="1:5" ht="14.25" customHeight="1" x14ac:dyDescent="0.35">
      <c r="A246" s="1"/>
      <c r="B246" s="1"/>
      <c r="C246" s="1"/>
      <c r="D246" s="2"/>
      <c r="E246" s="1"/>
    </row>
    <row r="247" spans="1:5" ht="14.25" customHeight="1" x14ac:dyDescent="0.35">
      <c r="A247" s="1"/>
      <c r="B247" s="1"/>
      <c r="C247" s="1"/>
      <c r="D247" s="2"/>
      <c r="E247" s="1"/>
    </row>
    <row r="248" spans="1:5" ht="14.25" customHeight="1" x14ac:dyDescent="0.35">
      <c r="A248" s="1"/>
      <c r="B248" s="1"/>
      <c r="C248" s="1"/>
      <c r="D248" s="2"/>
      <c r="E248" s="1"/>
    </row>
    <row r="249" spans="1:5" ht="14.25" customHeight="1" x14ac:dyDescent="0.35">
      <c r="A249" s="1"/>
      <c r="B249" s="1"/>
      <c r="C249" s="1"/>
      <c r="D249" s="2"/>
      <c r="E249" s="1"/>
    </row>
    <row r="250" spans="1:5" ht="14.25" customHeight="1" x14ac:dyDescent="0.35">
      <c r="A250" s="1"/>
      <c r="B250" s="1"/>
      <c r="C250" s="1"/>
      <c r="D250" s="2"/>
      <c r="E250" s="1"/>
    </row>
    <row r="251" spans="1:5" ht="14.25" customHeight="1" x14ac:dyDescent="0.35">
      <c r="A251" s="1"/>
      <c r="B251" s="1"/>
      <c r="C251" s="1"/>
      <c r="D251" s="2"/>
      <c r="E251" s="1"/>
    </row>
    <row r="252" spans="1:5" ht="14.25" customHeight="1" x14ac:dyDescent="0.35">
      <c r="A252" s="1"/>
      <c r="B252" s="1"/>
      <c r="C252" s="1"/>
      <c r="D252" s="2"/>
      <c r="E252" s="1"/>
    </row>
    <row r="253" spans="1:5" ht="14.25" customHeight="1" x14ac:dyDescent="0.35">
      <c r="A253" s="1"/>
      <c r="B253" s="1"/>
      <c r="C253" s="1"/>
      <c r="D253" s="2"/>
      <c r="E253" s="1"/>
    </row>
    <row r="254" spans="1:5" ht="14.25" customHeight="1" x14ac:dyDescent="0.35">
      <c r="A254" s="1"/>
      <c r="B254" s="1"/>
      <c r="C254" s="1"/>
      <c r="D254" s="2"/>
      <c r="E254" s="1"/>
    </row>
    <row r="255" spans="1:5" ht="14.25" customHeight="1" x14ac:dyDescent="0.35">
      <c r="A255" s="1"/>
      <c r="B255" s="1"/>
      <c r="C255" s="1"/>
      <c r="D255" s="2"/>
      <c r="E255" s="1"/>
    </row>
    <row r="256" spans="1:5" ht="14.25" customHeight="1" x14ac:dyDescent="0.35">
      <c r="A256" s="1"/>
      <c r="B256" s="1"/>
      <c r="C256" s="1"/>
      <c r="D256" s="2"/>
      <c r="E256" s="1"/>
    </row>
    <row r="257" spans="1:5" ht="14.25" customHeight="1" x14ac:dyDescent="0.35">
      <c r="A257" s="1"/>
      <c r="B257" s="1"/>
      <c r="C257" s="1"/>
      <c r="D257" s="2"/>
      <c r="E257" s="1"/>
    </row>
    <row r="258" spans="1:5" ht="14.25" customHeight="1" x14ac:dyDescent="0.35">
      <c r="A258" s="1"/>
      <c r="B258" s="1"/>
      <c r="C258" s="1"/>
      <c r="D258" s="2"/>
      <c r="E258" s="1"/>
    </row>
    <row r="259" spans="1:5" ht="14.25" customHeight="1" x14ac:dyDescent="0.35">
      <c r="A259" s="1"/>
      <c r="B259" s="1"/>
      <c r="C259" s="1"/>
      <c r="D259" s="2"/>
      <c r="E259" s="1"/>
    </row>
    <row r="260" spans="1:5" ht="14.25" customHeight="1" x14ac:dyDescent="0.35">
      <c r="A260" s="1"/>
      <c r="B260" s="1"/>
      <c r="C260" s="1"/>
      <c r="D260" s="2"/>
      <c r="E260" s="1"/>
    </row>
    <row r="261" spans="1:5" ht="14.25" customHeight="1" x14ac:dyDescent="0.35">
      <c r="A261" s="1"/>
      <c r="B261" s="1"/>
      <c r="C261" s="1"/>
      <c r="D261" s="2"/>
      <c r="E261" s="1"/>
    </row>
    <row r="262" spans="1:5" ht="14.25" customHeight="1" x14ac:dyDescent="0.35">
      <c r="A262" s="1"/>
      <c r="B262" s="1"/>
      <c r="C262" s="1"/>
      <c r="D262" s="2"/>
      <c r="E262" s="1"/>
    </row>
    <row r="263" spans="1:5" ht="14.25" customHeight="1" x14ac:dyDescent="0.35">
      <c r="A263" s="1"/>
      <c r="B263" s="1"/>
      <c r="C263" s="1"/>
      <c r="D263" s="2"/>
      <c r="E263" s="1"/>
    </row>
    <row r="264" spans="1:5" ht="14.25" customHeight="1" x14ac:dyDescent="0.35">
      <c r="A264" s="1"/>
      <c r="B264" s="1"/>
      <c r="C264" s="1"/>
      <c r="D264" s="2"/>
      <c r="E264" s="1"/>
    </row>
    <row r="265" spans="1:5" ht="14.25" customHeight="1" x14ac:dyDescent="0.35">
      <c r="A265" s="1"/>
      <c r="B265" s="1"/>
      <c r="C265" s="1"/>
      <c r="D265" s="2"/>
      <c r="E265" s="1"/>
    </row>
    <row r="266" spans="1:5" ht="14.25" customHeight="1" x14ac:dyDescent="0.35">
      <c r="A266" s="1"/>
      <c r="B266" s="1"/>
      <c r="C266" s="1"/>
      <c r="D266" s="2"/>
      <c r="E266" s="1"/>
    </row>
    <row r="267" spans="1:5" ht="14.25" customHeight="1" x14ac:dyDescent="0.35">
      <c r="A267" s="1"/>
      <c r="B267" s="1"/>
      <c r="C267" s="1"/>
      <c r="D267" s="2"/>
      <c r="E267" s="1"/>
    </row>
    <row r="268" spans="1:5" ht="14.25" customHeight="1" x14ac:dyDescent="0.35">
      <c r="A268" s="1"/>
      <c r="B268" s="1"/>
      <c r="C268" s="1"/>
      <c r="D268" s="2"/>
      <c r="E268" s="1"/>
    </row>
    <row r="269" spans="1:5" ht="14.25" customHeight="1" x14ac:dyDescent="0.35">
      <c r="A269" s="1"/>
      <c r="B269" s="1"/>
      <c r="C269" s="1"/>
      <c r="D269" s="2"/>
      <c r="E269" s="1"/>
    </row>
    <row r="270" spans="1:5" ht="14.25" customHeight="1" x14ac:dyDescent="0.35">
      <c r="A270" s="1"/>
      <c r="B270" s="1"/>
      <c r="C270" s="1"/>
      <c r="D270" s="2"/>
      <c r="E270" s="1"/>
    </row>
    <row r="271" spans="1:5" ht="14.25" customHeight="1" x14ac:dyDescent="0.35">
      <c r="A271" s="1"/>
      <c r="B271" s="1"/>
      <c r="C271" s="1"/>
      <c r="D271" s="2"/>
      <c r="E271" s="1"/>
    </row>
    <row r="272" spans="1:5" ht="14.25" customHeight="1" x14ac:dyDescent="0.35">
      <c r="A272" s="1"/>
      <c r="B272" s="1"/>
      <c r="C272" s="1"/>
      <c r="D272" s="2"/>
      <c r="E272" s="1"/>
    </row>
    <row r="273" spans="1:5" ht="14.25" customHeight="1" x14ac:dyDescent="0.35">
      <c r="A273" s="1"/>
      <c r="B273" s="1"/>
      <c r="C273" s="1"/>
      <c r="D273" s="2"/>
      <c r="E273" s="1"/>
    </row>
    <row r="274" spans="1:5" ht="14.25" customHeight="1" x14ac:dyDescent="0.35">
      <c r="A274" s="1"/>
      <c r="B274" s="1"/>
      <c r="C274" s="1"/>
      <c r="D274" s="2"/>
      <c r="E274" s="1"/>
    </row>
    <row r="275" spans="1:5" ht="14.25" customHeight="1" x14ac:dyDescent="0.35">
      <c r="A275" s="1"/>
      <c r="B275" s="1"/>
      <c r="C275" s="1"/>
      <c r="D275" s="2"/>
      <c r="E275" s="1"/>
    </row>
    <row r="276" spans="1:5" ht="14.25" customHeight="1" x14ac:dyDescent="0.35">
      <c r="A276" s="1"/>
      <c r="B276" s="1"/>
      <c r="C276" s="1"/>
      <c r="D276" s="2"/>
      <c r="E276" s="1"/>
    </row>
    <row r="277" spans="1:5" ht="14.25" customHeight="1" x14ac:dyDescent="0.35">
      <c r="A277" s="1"/>
      <c r="B277" s="1"/>
      <c r="C277" s="1"/>
      <c r="D277" s="2"/>
      <c r="E277" s="1"/>
    </row>
    <row r="278" spans="1:5" ht="14.25" customHeight="1" x14ac:dyDescent="0.35">
      <c r="A278" s="1"/>
      <c r="B278" s="1"/>
      <c r="C278" s="1"/>
      <c r="D278" s="2"/>
      <c r="E278" s="1"/>
    </row>
    <row r="279" spans="1:5" ht="14.25" customHeight="1" x14ac:dyDescent="0.35">
      <c r="A279" s="1"/>
      <c r="B279" s="1"/>
      <c r="C279" s="1"/>
      <c r="D279" s="2"/>
      <c r="E279" s="1"/>
    </row>
    <row r="280" spans="1:5" ht="14.25" customHeight="1" x14ac:dyDescent="0.35">
      <c r="A280" s="1"/>
      <c r="B280" s="1"/>
      <c r="C280" s="1"/>
      <c r="D280" s="2"/>
      <c r="E280" s="1"/>
    </row>
    <row r="281" spans="1:5" ht="14.25" customHeight="1" x14ac:dyDescent="0.35">
      <c r="A281" s="1"/>
      <c r="B281" s="1"/>
      <c r="C281" s="1"/>
      <c r="D281" s="2"/>
      <c r="E281" s="1"/>
    </row>
    <row r="282" spans="1:5" ht="14.25" customHeight="1" x14ac:dyDescent="0.35">
      <c r="A282" s="1"/>
      <c r="B282" s="1"/>
      <c r="C282" s="1"/>
      <c r="D282" s="2"/>
      <c r="E282" s="1"/>
    </row>
    <row r="283" spans="1:5" ht="14.25" customHeight="1" x14ac:dyDescent="0.35">
      <c r="A283" s="1"/>
      <c r="B283" s="1"/>
      <c r="C283" s="1"/>
      <c r="D283" s="2"/>
      <c r="E283" s="1"/>
    </row>
    <row r="284" spans="1:5" ht="14.25" customHeight="1" x14ac:dyDescent="0.35">
      <c r="A284" s="1"/>
      <c r="B284" s="1"/>
      <c r="C284" s="1"/>
      <c r="D284" s="2"/>
      <c r="E284" s="1"/>
    </row>
    <row r="285" spans="1:5" ht="14.25" customHeight="1" x14ac:dyDescent="0.35">
      <c r="A285" s="1"/>
      <c r="B285" s="1"/>
      <c r="C285" s="1"/>
      <c r="D285" s="2"/>
      <c r="E285" s="1"/>
    </row>
    <row r="286" spans="1:5" ht="14.25" customHeight="1" x14ac:dyDescent="0.35">
      <c r="A286" s="1"/>
      <c r="B286" s="1"/>
      <c r="C286" s="1"/>
      <c r="D286" s="2"/>
      <c r="E286" s="1"/>
    </row>
    <row r="287" spans="1:5" ht="14.25" customHeight="1" x14ac:dyDescent="0.35">
      <c r="A287" s="1"/>
      <c r="B287" s="1"/>
      <c r="C287" s="1"/>
      <c r="D287" s="2"/>
      <c r="E287" s="1"/>
    </row>
    <row r="288" spans="1:5" ht="14.25" customHeight="1" x14ac:dyDescent="0.35">
      <c r="A288" s="1"/>
      <c r="B288" s="1"/>
      <c r="C288" s="1"/>
      <c r="D288" s="2"/>
      <c r="E288" s="1"/>
    </row>
    <row r="289" spans="1:5" ht="14.25" customHeight="1" x14ac:dyDescent="0.35">
      <c r="A289" s="1"/>
      <c r="B289" s="1"/>
      <c r="C289" s="1"/>
      <c r="D289" s="2"/>
      <c r="E289" s="1"/>
    </row>
    <row r="290" spans="1:5" ht="14.25" customHeight="1" x14ac:dyDescent="0.35">
      <c r="A290" s="1"/>
      <c r="B290" s="1"/>
      <c r="C290" s="1"/>
      <c r="D290" s="2"/>
      <c r="E290" s="1"/>
    </row>
    <row r="291" spans="1:5" ht="14.25" customHeight="1" x14ac:dyDescent="0.35">
      <c r="A291" s="1"/>
      <c r="B291" s="1"/>
      <c r="C291" s="1"/>
      <c r="D291" s="2"/>
      <c r="E291" s="1"/>
    </row>
    <row r="292" spans="1:5" ht="14.25" customHeight="1" x14ac:dyDescent="0.35">
      <c r="A292" s="1"/>
      <c r="B292" s="1"/>
      <c r="C292" s="1"/>
      <c r="D292" s="2"/>
      <c r="E292" s="1"/>
    </row>
    <row r="293" spans="1:5" ht="14.25" customHeight="1" x14ac:dyDescent="0.35">
      <c r="A293" s="1"/>
      <c r="B293" s="1"/>
      <c r="C293" s="1"/>
      <c r="D293" s="2"/>
      <c r="E293" s="1"/>
    </row>
    <row r="294" spans="1:5" ht="14.25" customHeight="1" x14ac:dyDescent="0.35">
      <c r="A294" s="1"/>
      <c r="B294" s="1"/>
      <c r="C294" s="1"/>
      <c r="D294" s="2"/>
      <c r="E294" s="1"/>
    </row>
    <row r="295" spans="1:5" ht="14.25" customHeight="1" x14ac:dyDescent="0.35">
      <c r="A295" s="1"/>
      <c r="B295" s="1"/>
      <c r="C295" s="1"/>
      <c r="D295" s="2"/>
      <c r="E295" s="1"/>
    </row>
    <row r="296" spans="1:5" ht="14.25" customHeight="1" x14ac:dyDescent="0.35">
      <c r="A296" s="1"/>
      <c r="B296" s="1"/>
      <c r="C296" s="1"/>
      <c r="D296" s="2"/>
      <c r="E296" s="1"/>
    </row>
    <row r="297" spans="1:5" ht="14.25" customHeight="1" x14ac:dyDescent="0.35">
      <c r="A297" s="1"/>
      <c r="B297" s="1"/>
      <c r="C297" s="1"/>
      <c r="D297" s="2"/>
      <c r="E297" s="1"/>
    </row>
    <row r="298" spans="1:5" ht="14.25" customHeight="1" x14ac:dyDescent="0.35">
      <c r="A298" s="1"/>
      <c r="B298" s="1"/>
      <c r="C298" s="1"/>
      <c r="D298" s="2"/>
      <c r="E298" s="1"/>
    </row>
    <row r="299" spans="1:5" ht="14.25" customHeight="1" x14ac:dyDescent="0.35">
      <c r="A299" s="1"/>
      <c r="B299" s="1"/>
      <c r="C299" s="1"/>
      <c r="D299" s="2"/>
      <c r="E299" s="1"/>
    </row>
    <row r="300" spans="1:5" ht="14.25" customHeight="1" x14ac:dyDescent="0.35">
      <c r="A300" s="1"/>
      <c r="B300" s="1"/>
      <c r="C300" s="1"/>
      <c r="D300" s="2"/>
      <c r="E300" s="1"/>
    </row>
    <row r="301" spans="1:5" ht="14.25" customHeight="1" x14ac:dyDescent="0.35">
      <c r="A301" s="1"/>
      <c r="B301" s="1"/>
      <c r="C301" s="1"/>
      <c r="D301" s="2"/>
      <c r="E301" s="1"/>
    </row>
    <row r="302" spans="1:5" ht="14.25" customHeight="1" x14ac:dyDescent="0.35">
      <c r="A302" s="1"/>
      <c r="B302" s="1"/>
      <c r="C302" s="1"/>
      <c r="D302" s="2"/>
      <c r="E302" s="1"/>
    </row>
    <row r="303" spans="1:5" ht="14.25" customHeight="1" x14ac:dyDescent="0.35">
      <c r="A303" s="1"/>
      <c r="B303" s="1"/>
      <c r="C303" s="1"/>
      <c r="D303" s="2"/>
      <c r="E303" s="1"/>
    </row>
    <row r="304" spans="1:5" ht="14.25" customHeight="1" x14ac:dyDescent="0.35">
      <c r="A304" s="1"/>
      <c r="B304" s="1"/>
      <c r="C304" s="1"/>
      <c r="D304" s="2"/>
      <c r="E304" s="1"/>
    </row>
    <row r="305" spans="1:5" ht="14.25" customHeight="1" x14ac:dyDescent="0.35">
      <c r="A305" s="1"/>
      <c r="B305" s="1"/>
      <c r="C305" s="1"/>
      <c r="D305" s="2"/>
      <c r="E305" s="1"/>
    </row>
    <row r="306" spans="1:5" ht="14.25" customHeight="1" x14ac:dyDescent="0.35">
      <c r="A306" s="1"/>
      <c r="B306" s="1"/>
      <c r="C306" s="1"/>
      <c r="D306" s="2"/>
      <c r="E306" s="1"/>
    </row>
    <row r="307" spans="1:5" ht="14.25" customHeight="1" x14ac:dyDescent="0.35">
      <c r="A307" s="1"/>
      <c r="B307" s="1"/>
      <c r="C307" s="1"/>
      <c r="D307" s="2"/>
      <c r="E307" s="1"/>
    </row>
    <row r="308" spans="1:5" ht="14.25" customHeight="1" x14ac:dyDescent="0.35">
      <c r="A308" s="1"/>
      <c r="B308" s="1"/>
      <c r="C308" s="1"/>
      <c r="D308" s="2"/>
      <c r="E308" s="1"/>
    </row>
    <row r="309" spans="1:5" ht="14.25" customHeight="1" x14ac:dyDescent="0.35">
      <c r="A309" s="1"/>
      <c r="B309" s="1"/>
      <c r="C309" s="1"/>
      <c r="D309" s="2"/>
      <c r="E309" s="1"/>
    </row>
    <row r="310" spans="1:5" ht="14.25" customHeight="1" x14ac:dyDescent="0.35">
      <c r="A310" s="1"/>
      <c r="B310" s="1"/>
      <c r="C310" s="1"/>
      <c r="D310" s="2"/>
      <c r="E310" s="1"/>
    </row>
    <row r="311" spans="1:5" ht="14.25" customHeight="1" x14ac:dyDescent="0.35">
      <c r="A311" s="1"/>
      <c r="B311" s="1"/>
      <c r="C311" s="1"/>
      <c r="D311" s="2"/>
      <c r="E311" s="1"/>
    </row>
    <row r="312" spans="1:5" ht="14.25" customHeight="1" x14ac:dyDescent="0.35">
      <c r="A312" s="1"/>
      <c r="B312" s="1"/>
      <c r="C312" s="1"/>
      <c r="D312" s="2"/>
      <c r="E312" s="1"/>
    </row>
    <row r="313" spans="1:5" ht="14.25" customHeight="1" x14ac:dyDescent="0.35">
      <c r="A313" s="1"/>
      <c r="B313" s="1"/>
      <c r="C313" s="1"/>
      <c r="D313" s="2"/>
      <c r="E313" s="1"/>
    </row>
    <row r="314" spans="1:5" ht="14.25" customHeight="1" x14ac:dyDescent="0.35">
      <c r="A314" s="1"/>
      <c r="B314" s="1"/>
      <c r="C314" s="1"/>
      <c r="D314" s="2"/>
      <c r="E314" s="1"/>
    </row>
    <row r="315" spans="1:5" ht="14.25" customHeight="1" x14ac:dyDescent="0.35">
      <c r="A315" s="1"/>
      <c r="B315" s="1"/>
      <c r="C315" s="1"/>
      <c r="D315" s="2"/>
      <c r="E315" s="1"/>
    </row>
    <row r="316" spans="1:5" ht="14.25" customHeight="1" x14ac:dyDescent="0.35">
      <c r="A316" s="1"/>
      <c r="B316" s="1"/>
      <c r="C316" s="1"/>
      <c r="D316" s="2"/>
      <c r="E316" s="1"/>
    </row>
    <row r="317" spans="1:5" ht="14.25" customHeight="1" x14ac:dyDescent="0.35">
      <c r="A317" s="1"/>
      <c r="B317" s="1"/>
      <c r="C317" s="1"/>
      <c r="D317" s="2"/>
      <c r="E317" s="1"/>
    </row>
    <row r="318" spans="1:5" ht="14.25" customHeight="1" x14ac:dyDescent="0.35">
      <c r="A318" s="1"/>
      <c r="B318" s="1"/>
      <c r="C318" s="1"/>
      <c r="D318" s="2"/>
      <c r="E318" s="1"/>
    </row>
    <row r="319" spans="1:5" ht="14.25" customHeight="1" x14ac:dyDescent="0.35">
      <c r="A319" s="1"/>
      <c r="B319" s="1"/>
      <c r="C319" s="1"/>
      <c r="D319" s="2"/>
      <c r="E319" s="1"/>
    </row>
    <row r="320" spans="1:5" ht="14.25" customHeight="1" x14ac:dyDescent="0.35">
      <c r="A320" s="1"/>
      <c r="B320" s="1"/>
      <c r="C320" s="1"/>
      <c r="D320" s="2"/>
      <c r="E320" s="1"/>
    </row>
    <row r="321" spans="1:5" ht="14.25" customHeight="1" x14ac:dyDescent="0.35">
      <c r="A321" s="1"/>
      <c r="B321" s="1"/>
      <c r="C321" s="1"/>
      <c r="D321" s="2"/>
      <c r="E321" s="1"/>
    </row>
    <row r="322" spans="1:5" ht="14.25" customHeight="1" x14ac:dyDescent="0.35">
      <c r="A322" s="1"/>
      <c r="B322" s="1"/>
      <c r="C322" s="1"/>
      <c r="D322" s="2"/>
      <c r="E322" s="1"/>
    </row>
    <row r="323" spans="1:5" ht="14.25" customHeight="1" x14ac:dyDescent="0.35">
      <c r="A323" s="1"/>
      <c r="B323" s="1"/>
      <c r="C323" s="1"/>
      <c r="D323" s="2"/>
      <c r="E323" s="1"/>
    </row>
    <row r="324" spans="1:5" ht="14.25" customHeight="1" x14ac:dyDescent="0.35">
      <c r="A324" s="1"/>
      <c r="B324" s="1"/>
      <c r="C324" s="1"/>
      <c r="D324" s="2"/>
      <c r="E324" s="1"/>
    </row>
    <row r="325" spans="1:5" ht="14.25" customHeight="1" x14ac:dyDescent="0.35">
      <c r="A325" s="1"/>
      <c r="B325" s="1"/>
      <c r="C325" s="1"/>
      <c r="D325" s="2"/>
      <c r="E325" s="1"/>
    </row>
    <row r="326" spans="1:5" ht="14.25" customHeight="1" x14ac:dyDescent="0.35">
      <c r="A326" s="1"/>
      <c r="B326" s="1"/>
      <c r="C326" s="1"/>
      <c r="D326" s="2"/>
      <c r="E326" s="1"/>
    </row>
    <row r="327" spans="1:5" ht="14.25" customHeight="1" x14ac:dyDescent="0.35">
      <c r="A327" s="1"/>
      <c r="B327" s="1"/>
      <c r="C327" s="1"/>
      <c r="D327" s="2"/>
      <c r="E327" s="1"/>
    </row>
    <row r="328" spans="1:5" ht="14.25" customHeight="1" x14ac:dyDescent="0.35">
      <c r="A328" s="1"/>
      <c r="B328" s="1"/>
      <c r="C328" s="1"/>
      <c r="D328" s="2"/>
      <c r="E328" s="1"/>
    </row>
    <row r="329" spans="1:5" ht="14.25" customHeight="1" x14ac:dyDescent="0.35">
      <c r="A329" s="1"/>
      <c r="B329" s="1"/>
      <c r="C329" s="1"/>
      <c r="D329" s="2"/>
      <c r="E329" s="1"/>
    </row>
    <row r="330" spans="1:5" ht="14.25" customHeight="1" x14ac:dyDescent="0.35">
      <c r="A330" s="1"/>
      <c r="B330" s="1"/>
      <c r="C330" s="1"/>
      <c r="D330" s="2"/>
      <c r="E330" s="1"/>
    </row>
    <row r="331" spans="1:5" ht="14.25" customHeight="1" x14ac:dyDescent="0.35">
      <c r="A331" s="1"/>
      <c r="B331" s="1"/>
      <c r="C331" s="1"/>
      <c r="D331" s="2"/>
      <c r="E331" s="1"/>
    </row>
    <row r="332" spans="1:5" ht="14.25" customHeight="1" x14ac:dyDescent="0.35">
      <c r="A332" s="1"/>
      <c r="B332" s="1"/>
      <c r="C332" s="1"/>
      <c r="D332" s="2"/>
      <c r="E332" s="1"/>
    </row>
    <row r="333" spans="1:5" ht="14.25" customHeight="1" x14ac:dyDescent="0.35">
      <c r="A333" s="1"/>
      <c r="B333" s="1"/>
      <c r="C333" s="1"/>
      <c r="D333" s="2"/>
      <c r="E333" s="1"/>
    </row>
    <row r="334" spans="1:5" ht="14.25" customHeight="1" x14ac:dyDescent="0.35">
      <c r="A334" s="1"/>
      <c r="B334" s="1"/>
      <c r="C334" s="1"/>
      <c r="D334" s="2"/>
      <c r="E334" s="1"/>
    </row>
    <row r="335" spans="1:5" ht="14.25" customHeight="1" x14ac:dyDescent="0.35">
      <c r="A335" s="1"/>
      <c r="B335" s="1"/>
      <c r="C335" s="1"/>
      <c r="D335" s="2"/>
      <c r="E335" s="1"/>
    </row>
    <row r="336" spans="1:5" ht="14.25" customHeight="1" x14ac:dyDescent="0.35">
      <c r="A336" s="1"/>
      <c r="B336" s="1"/>
      <c r="C336" s="1"/>
      <c r="D336" s="2"/>
      <c r="E336" s="1"/>
    </row>
    <row r="337" spans="1:5" ht="14.25" customHeight="1" x14ac:dyDescent="0.35">
      <c r="A337" s="1"/>
      <c r="B337" s="1"/>
      <c r="C337" s="1"/>
      <c r="D337" s="2"/>
      <c r="E337" s="1"/>
    </row>
    <row r="338" spans="1:5" ht="14.25" customHeight="1" x14ac:dyDescent="0.35">
      <c r="A338" s="1"/>
      <c r="B338" s="1"/>
      <c r="C338" s="1"/>
      <c r="D338" s="2"/>
      <c r="E338" s="1"/>
    </row>
    <row r="339" spans="1:5" ht="14.25" customHeight="1" x14ac:dyDescent="0.35">
      <c r="A339" s="1"/>
      <c r="B339" s="1"/>
      <c r="C339" s="1"/>
      <c r="D339" s="2"/>
      <c r="E339" s="1"/>
    </row>
    <row r="340" spans="1:5" ht="14.25" customHeight="1" x14ac:dyDescent="0.35">
      <c r="A340" s="1"/>
      <c r="B340" s="1"/>
      <c r="C340" s="1"/>
      <c r="D340" s="2"/>
      <c r="E340" s="1"/>
    </row>
    <row r="341" spans="1:5" ht="14.25" customHeight="1" x14ac:dyDescent="0.35">
      <c r="A341" s="1"/>
      <c r="B341" s="1"/>
      <c r="C341" s="1"/>
      <c r="D341" s="2"/>
      <c r="E341" s="1"/>
    </row>
    <row r="342" spans="1:5" ht="14.25" customHeight="1" x14ac:dyDescent="0.35">
      <c r="A342" s="1"/>
      <c r="B342" s="1"/>
      <c r="C342" s="1"/>
      <c r="D342" s="2"/>
      <c r="E342" s="1"/>
    </row>
    <row r="343" spans="1:5" ht="14.25" customHeight="1" x14ac:dyDescent="0.35">
      <c r="A343" s="1"/>
      <c r="B343" s="1"/>
      <c r="C343" s="1"/>
      <c r="D343" s="2"/>
      <c r="E343" s="1"/>
    </row>
    <row r="344" spans="1:5" ht="14.25" customHeight="1" x14ac:dyDescent="0.35">
      <c r="A344" s="1"/>
      <c r="B344" s="1"/>
      <c r="C344" s="1"/>
      <c r="D344" s="2"/>
      <c r="E344" s="1"/>
    </row>
    <row r="345" spans="1:5" ht="14.25" customHeight="1" x14ac:dyDescent="0.35">
      <c r="A345" s="1"/>
      <c r="B345" s="1"/>
      <c r="C345" s="1"/>
      <c r="D345" s="2"/>
      <c r="E345" s="1"/>
    </row>
    <row r="346" spans="1:5" ht="14.25" customHeight="1" x14ac:dyDescent="0.35">
      <c r="A346" s="1"/>
      <c r="B346" s="1"/>
      <c r="C346" s="1"/>
      <c r="D346" s="2"/>
      <c r="E346" s="1"/>
    </row>
    <row r="347" spans="1:5" ht="14.25" customHeight="1" x14ac:dyDescent="0.35">
      <c r="A347" s="1"/>
      <c r="B347" s="1"/>
      <c r="C347" s="1"/>
      <c r="D347" s="2"/>
      <c r="E347" s="1"/>
    </row>
    <row r="348" spans="1:5" ht="14.25" customHeight="1" x14ac:dyDescent="0.35">
      <c r="A348" s="1"/>
      <c r="B348" s="1"/>
      <c r="C348" s="1"/>
      <c r="D348" s="2"/>
      <c r="E348" s="1"/>
    </row>
    <row r="349" spans="1:5" ht="14.25" customHeight="1" x14ac:dyDescent="0.35">
      <c r="A349" s="1"/>
      <c r="B349" s="1"/>
      <c r="C349" s="1"/>
      <c r="D349" s="2"/>
      <c r="E349" s="1"/>
    </row>
    <row r="350" spans="1:5" ht="14.25" customHeight="1" x14ac:dyDescent="0.35">
      <c r="A350" s="1"/>
      <c r="B350" s="1"/>
      <c r="C350" s="1"/>
      <c r="D350" s="2"/>
      <c r="E350" s="1"/>
    </row>
    <row r="351" spans="1:5" ht="14.25" customHeight="1" x14ac:dyDescent="0.35">
      <c r="A351" s="1"/>
      <c r="B351" s="1"/>
      <c r="C351" s="1"/>
      <c r="D351" s="2"/>
      <c r="E351" s="1"/>
    </row>
    <row r="352" spans="1:5" ht="14.25" customHeight="1" x14ac:dyDescent="0.35">
      <c r="A352" s="1"/>
      <c r="B352" s="1"/>
      <c r="C352" s="1"/>
      <c r="D352" s="2"/>
      <c r="E352" s="1"/>
    </row>
    <row r="353" spans="1:5" ht="14.25" customHeight="1" x14ac:dyDescent="0.35">
      <c r="A353" s="1"/>
      <c r="B353" s="1"/>
      <c r="C353" s="1"/>
      <c r="D353" s="2"/>
      <c r="E353" s="1"/>
    </row>
    <row r="354" spans="1:5" ht="14.25" customHeight="1" x14ac:dyDescent="0.35">
      <c r="A354" s="1"/>
      <c r="B354" s="1"/>
      <c r="C354" s="1"/>
      <c r="D354" s="2"/>
      <c r="E354" s="1"/>
    </row>
    <row r="355" spans="1:5" ht="14.25" customHeight="1" x14ac:dyDescent="0.35">
      <c r="A355" s="1"/>
      <c r="B355" s="1"/>
      <c r="C355" s="1"/>
      <c r="D355" s="2"/>
      <c r="E355" s="1"/>
    </row>
    <row r="356" spans="1:5" ht="14.25" customHeight="1" x14ac:dyDescent="0.35">
      <c r="A356" s="1"/>
      <c r="B356" s="1"/>
      <c r="C356" s="1"/>
      <c r="D356" s="2"/>
      <c r="E356" s="1"/>
    </row>
    <row r="357" spans="1:5" ht="14.25" customHeight="1" x14ac:dyDescent="0.35">
      <c r="A357" s="1"/>
      <c r="B357" s="1"/>
      <c r="C357" s="1"/>
      <c r="D357" s="2"/>
      <c r="E357" s="1"/>
    </row>
    <row r="358" spans="1:5" ht="14.25" customHeight="1" x14ac:dyDescent="0.35">
      <c r="A358" s="1"/>
      <c r="B358" s="1"/>
      <c r="C358" s="1"/>
      <c r="D358" s="2"/>
      <c r="E358" s="1"/>
    </row>
    <row r="359" spans="1:5" ht="14.25" customHeight="1" x14ac:dyDescent="0.35">
      <c r="A359" s="1"/>
      <c r="B359" s="1"/>
      <c r="C359" s="1"/>
      <c r="D359" s="2"/>
      <c r="E359" s="1"/>
    </row>
    <row r="360" spans="1:5" ht="14.25" customHeight="1" x14ac:dyDescent="0.35">
      <c r="A360" s="1"/>
      <c r="B360" s="1"/>
      <c r="C360" s="1"/>
      <c r="D360" s="2"/>
      <c r="E360" s="1"/>
    </row>
    <row r="361" spans="1:5" ht="14.25" customHeight="1" x14ac:dyDescent="0.35">
      <c r="A361" s="1"/>
      <c r="B361" s="1"/>
      <c r="C361" s="1"/>
      <c r="D361" s="2"/>
      <c r="E361" s="1"/>
    </row>
    <row r="362" spans="1:5" ht="14.25" customHeight="1" x14ac:dyDescent="0.35">
      <c r="A362" s="1"/>
      <c r="B362" s="1"/>
      <c r="C362" s="1"/>
      <c r="D362" s="2"/>
      <c r="E362" s="1"/>
    </row>
    <row r="363" spans="1:5" ht="14.25" customHeight="1" x14ac:dyDescent="0.35">
      <c r="A363" s="1"/>
      <c r="B363" s="1"/>
      <c r="C363" s="1"/>
      <c r="D363" s="2"/>
      <c r="E363" s="1"/>
    </row>
    <row r="364" spans="1:5" ht="14.25" customHeight="1" x14ac:dyDescent="0.35">
      <c r="A364" s="1"/>
      <c r="B364" s="1"/>
      <c r="C364" s="1"/>
      <c r="D364" s="2"/>
      <c r="E364" s="1"/>
    </row>
    <row r="365" spans="1:5" ht="14.25" customHeight="1" x14ac:dyDescent="0.35">
      <c r="A365" s="1"/>
      <c r="B365" s="1"/>
      <c r="C365" s="1"/>
      <c r="D365" s="2"/>
      <c r="E365" s="1"/>
    </row>
    <row r="366" spans="1:5" ht="14.25" customHeight="1" x14ac:dyDescent="0.35">
      <c r="A366" s="1"/>
      <c r="B366" s="1"/>
      <c r="C366" s="1"/>
      <c r="D366" s="2"/>
      <c r="E366" s="1"/>
    </row>
    <row r="367" spans="1:5" ht="14.25" customHeight="1" x14ac:dyDescent="0.35">
      <c r="A367" s="1"/>
      <c r="B367" s="1"/>
      <c r="C367" s="1"/>
      <c r="D367" s="2"/>
      <c r="E367" s="1"/>
    </row>
    <row r="368" spans="1:5" ht="14.25" customHeight="1" x14ac:dyDescent="0.35">
      <c r="A368" s="1"/>
      <c r="B368" s="1"/>
      <c r="C368" s="1"/>
      <c r="D368" s="2"/>
      <c r="E368" s="1"/>
    </row>
    <row r="369" spans="1:5" ht="14.25" customHeight="1" x14ac:dyDescent="0.35">
      <c r="A369" s="1"/>
      <c r="B369" s="1"/>
      <c r="C369" s="1"/>
      <c r="D369" s="2"/>
      <c r="E369" s="1"/>
    </row>
    <row r="370" spans="1:5" ht="14.25" customHeight="1" x14ac:dyDescent="0.35">
      <c r="A370" s="1"/>
      <c r="B370" s="1"/>
      <c r="C370" s="1"/>
      <c r="D370" s="2"/>
      <c r="E370" s="1"/>
    </row>
    <row r="371" spans="1:5" ht="14.25" customHeight="1" x14ac:dyDescent="0.35">
      <c r="A371" s="1"/>
      <c r="B371" s="1"/>
      <c r="C371" s="1"/>
      <c r="D371" s="2"/>
      <c r="E371" s="1"/>
    </row>
    <row r="372" spans="1:5" ht="14.25" customHeight="1" x14ac:dyDescent="0.35">
      <c r="A372" s="1"/>
      <c r="B372" s="1"/>
      <c r="C372" s="1"/>
      <c r="D372" s="2"/>
      <c r="E372" s="1"/>
    </row>
    <row r="373" spans="1:5" ht="14.25" customHeight="1" x14ac:dyDescent="0.35">
      <c r="A373" s="1"/>
      <c r="B373" s="1"/>
      <c r="C373" s="1"/>
      <c r="D373" s="2"/>
      <c r="E373" s="1"/>
    </row>
    <row r="374" spans="1:5" ht="14.25" customHeight="1" x14ac:dyDescent="0.35">
      <c r="A374" s="1"/>
      <c r="B374" s="1"/>
      <c r="C374" s="1"/>
      <c r="D374" s="2"/>
      <c r="E374" s="1"/>
    </row>
    <row r="375" spans="1:5" ht="14.25" customHeight="1" x14ac:dyDescent="0.35">
      <c r="A375" s="1"/>
      <c r="B375" s="1"/>
      <c r="C375" s="1"/>
      <c r="D375" s="2"/>
      <c r="E375" s="1"/>
    </row>
    <row r="376" spans="1:5" ht="14.25" customHeight="1" x14ac:dyDescent="0.35">
      <c r="A376" s="1"/>
      <c r="B376" s="1"/>
      <c r="C376" s="1"/>
      <c r="D376" s="2"/>
      <c r="E376" s="1"/>
    </row>
    <row r="377" spans="1:5" ht="14.25" customHeight="1" x14ac:dyDescent="0.35">
      <c r="A377" s="1"/>
      <c r="B377" s="1"/>
      <c r="C377" s="1"/>
      <c r="D377" s="2"/>
      <c r="E377" s="1"/>
    </row>
    <row r="378" spans="1:5" ht="14.25" customHeight="1" x14ac:dyDescent="0.35">
      <c r="A378" s="1"/>
      <c r="B378" s="1"/>
      <c r="C378" s="1"/>
      <c r="D378" s="2"/>
      <c r="E378" s="1"/>
    </row>
    <row r="379" spans="1:5" ht="14.25" customHeight="1" x14ac:dyDescent="0.35">
      <c r="A379" s="1"/>
      <c r="B379" s="1"/>
      <c r="C379" s="1"/>
      <c r="D379" s="2"/>
      <c r="E379" s="1"/>
    </row>
    <row r="380" spans="1:5" ht="14.25" customHeight="1" x14ac:dyDescent="0.35">
      <c r="A380" s="1"/>
      <c r="B380" s="1"/>
      <c r="C380" s="1"/>
      <c r="D380" s="2"/>
      <c r="E380" s="1"/>
    </row>
    <row r="381" spans="1:5" ht="14.25" customHeight="1" x14ac:dyDescent="0.35">
      <c r="A381" s="1"/>
      <c r="B381" s="1"/>
      <c r="C381" s="1"/>
      <c r="D381" s="2"/>
      <c r="E381" s="1"/>
    </row>
    <row r="382" spans="1:5" ht="14.25" customHeight="1" x14ac:dyDescent="0.35">
      <c r="A382" s="1"/>
      <c r="B382" s="1"/>
      <c r="C382" s="1"/>
      <c r="D382" s="2"/>
      <c r="E382" s="1"/>
    </row>
    <row r="383" spans="1:5" ht="14.25" customHeight="1" x14ac:dyDescent="0.35">
      <c r="A383" s="1"/>
      <c r="B383" s="1"/>
      <c r="C383" s="1"/>
      <c r="D383" s="2"/>
      <c r="E383" s="1"/>
    </row>
    <row r="384" spans="1:5" ht="14.25" customHeight="1" x14ac:dyDescent="0.35">
      <c r="A384" s="1"/>
      <c r="B384" s="1"/>
      <c r="C384" s="1"/>
      <c r="D384" s="2"/>
      <c r="E384" s="1"/>
    </row>
    <row r="385" spans="1:5" ht="14.25" customHeight="1" x14ac:dyDescent="0.35">
      <c r="A385" s="1"/>
      <c r="B385" s="1"/>
      <c r="C385" s="1"/>
      <c r="D385" s="2"/>
      <c r="E385" s="1"/>
    </row>
    <row r="386" spans="1:5" ht="14.25" customHeight="1" x14ac:dyDescent="0.35">
      <c r="A386" s="1"/>
      <c r="B386" s="1"/>
      <c r="C386" s="1"/>
      <c r="D386" s="2"/>
      <c r="E386" s="1"/>
    </row>
    <row r="387" spans="1:5" ht="14.25" customHeight="1" x14ac:dyDescent="0.35">
      <c r="A387" s="1"/>
      <c r="B387" s="1"/>
      <c r="C387" s="1"/>
      <c r="D387" s="2"/>
      <c r="E387" s="1"/>
    </row>
    <row r="388" spans="1:5" ht="14.25" customHeight="1" x14ac:dyDescent="0.35">
      <c r="A388" s="1"/>
      <c r="B388" s="1"/>
      <c r="C388" s="1"/>
      <c r="D388" s="2"/>
      <c r="E388" s="1"/>
    </row>
    <row r="389" spans="1:5" ht="14.25" customHeight="1" x14ac:dyDescent="0.35">
      <c r="A389" s="1"/>
      <c r="B389" s="1"/>
      <c r="C389" s="1"/>
      <c r="D389" s="2"/>
      <c r="E389" s="1"/>
    </row>
    <row r="390" spans="1:5" ht="14.25" customHeight="1" x14ac:dyDescent="0.35">
      <c r="A390" s="1"/>
      <c r="B390" s="1"/>
      <c r="C390" s="1"/>
      <c r="D390" s="2"/>
      <c r="E390" s="1"/>
    </row>
    <row r="391" spans="1:5" ht="14.25" customHeight="1" x14ac:dyDescent="0.35">
      <c r="A391" s="1"/>
      <c r="B391" s="1"/>
      <c r="C391" s="1"/>
      <c r="D391" s="2"/>
      <c r="E391" s="1"/>
    </row>
    <row r="392" spans="1:5" ht="14.25" customHeight="1" x14ac:dyDescent="0.35">
      <c r="A392" s="1"/>
      <c r="B392" s="1"/>
      <c r="C392" s="1"/>
      <c r="D392" s="2"/>
      <c r="E392" s="1"/>
    </row>
    <row r="393" spans="1:5" ht="14.25" customHeight="1" x14ac:dyDescent="0.35">
      <c r="A393" s="1"/>
      <c r="B393" s="1"/>
      <c r="C393" s="1"/>
      <c r="D393" s="2"/>
      <c r="E393" s="1"/>
    </row>
    <row r="394" spans="1:5" ht="14.25" customHeight="1" x14ac:dyDescent="0.35">
      <c r="A394" s="1"/>
      <c r="B394" s="1"/>
      <c r="C394" s="1"/>
      <c r="D394" s="2"/>
      <c r="E394" s="1"/>
    </row>
    <row r="395" spans="1:5" ht="14.25" customHeight="1" x14ac:dyDescent="0.35">
      <c r="A395" s="1"/>
      <c r="B395" s="1"/>
      <c r="C395" s="1"/>
      <c r="D395" s="2"/>
      <c r="E395" s="1"/>
    </row>
    <row r="396" spans="1:5" ht="14.25" customHeight="1" x14ac:dyDescent="0.35">
      <c r="A396" s="1"/>
      <c r="B396" s="1"/>
      <c r="C396" s="1"/>
      <c r="D396" s="2"/>
      <c r="E396" s="1"/>
    </row>
    <row r="397" spans="1:5" ht="14.25" customHeight="1" x14ac:dyDescent="0.35">
      <c r="A397" s="1"/>
      <c r="B397" s="1"/>
      <c r="C397" s="1"/>
      <c r="D397" s="2"/>
      <c r="E397" s="1"/>
    </row>
    <row r="398" spans="1:5" ht="14.25" customHeight="1" x14ac:dyDescent="0.35">
      <c r="A398" s="1"/>
      <c r="B398" s="1"/>
      <c r="C398" s="1"/>
      <c r="D398" s="2"/>
      <c r="E398" s="1"/>
    </row>
    <row r="399" spans="1:5" ht="14.25" customHeight="1" x14ac:dyDescent="0.35">
      <c r="A399" s="1"/>
      <c r="B399" s="1"/>
      <c r="C399" s="1"/>
      <c r="D399" s="2"/>
      <c r="E399" s="1"/>
    </row>
    <row r="400" spans="1:5" ht="14.25" customHeight="1" x14ac:dyDescent="0.35">
      <c r="A400" s="1"/>
      <c r="B400" s="1"/>
      <c r="C400" s="1"/>
      <c r="D400" s="2"/>
      <c r="E400" s="1"/>
    </row>
    <row r="401" spans="1:5" ht="14.25" customHeight="1" x14ac:dyDescent="0.35">
      <c r="A401" s="1"/>
      <c r="B401" s="1"/>
      <c r="C401" s="1"/>
      <c r="D401" s="2"/>
      <c r="E401" s="1"/>
    </row>
    <row r="402" spans="1:5" ht="14.25" customHeight="1" x14ac:dyDescent="0.35">
      <c r="A402" s="1"/>
      <c r="B402" s="1"/>
      <c r="C402" s="1"/>
      <c r="D402" s="2"/>
      <c r="E402" s="1"/>
    </row>
    <row r="403" spans="1:5" ht="14.25" customHeight="1" x14ac:dyDescent="0.35">
      <c r="A403" s="1"/>
      <c r="B403" s="1"/>
      <c r="C403" s="1"/>
      <c r="D403" s="2"/>
      <c r="E403" s="1"/>
    </row>
    <row r="404" spans="1:5" ht="14.25" customHeight="1" x14ac:dyDescent="0.35">
      <c r="A404" s="1"/>
      <c r="B404" s="1"/>
      <c r="C404" s="1"/>
      <c r="D404" s="2"/>
      <c r="E404" s="1"/>
    </row>
    <row r="405" spans="1:5" ht="14.25" customHeight="1" x14ac:dyDescent="0.35">
      <c r="A405" s="1"/>
      <c r="B405" s="1"/>
      <c r="C405" s="1"/>
      <c r="D405" s="2"/>
      <c r="E405" s="1"/>
    </row>
    <row r="406" spans="1:5" ht="14.25" customHeight="1" x14ac:dyDescent="0.35">
      <c r="A406" s="1"/>
      <c r="B406" s="1"/>
      <c r="C406" s="1"/>
      <c r="D406" s="2"/>
      <c r="E406" s="1"/>
    </row>
    <row r="407" spans="1:5" ht="14.25" customHeight="1" x14ac:dyDescent="0.35">
      <c r="A407" s="1"/>
      <c r="B407" s="1"/>
      <c r="C407" s="1"/>
      <c r="D407" s="2"/>
      <c r="E407" s="1"/>
    </row>
    <row r="408" spans="1:5" ht="14.25" customHeight="1" x14ac:dyDescent="0.35">
      <c r="A408" s="1"/>
      <c r="B408" s="1"/>
      <c r="C408" s="1"/>
      <c r="D408" s="2"/>
      <c r="E408" s="1"/>
    </row>
    <row r="409" spans="1:5" ht="14.25" customHeight="1" x14ac:dyDescent="0.35">
      <c r="A409" s="1"/>
      <c r="B409" s="1"/>
      <c r="C409" s="1"/>
      <c r="D409" s="2"/>
      <c r="E409" s="1"/>
    </row>
    <row r="410" spans="1:5" ht="14.25" customHeight="1" x14ac:dyDescent="0.35">
      <c r="A410" s="1"/>
      <c r="B410" s="1"/>
      <c r="C410" s="1"/>
      <c r="D410" s="2"/>
      <c r="E410" s="1"/>
    </row>
    <row r="411" spans="1:5" ht="14.25" customHeight="1" x14ac:dyDescent="0.35">
      <c r="A411" s="1"/>
      <c r="B411" s="1"/>
      <c r="C411" s="1"/>
      <c r="D411" s="2"/>
      <c r="E411" s="1"/>
    </row>
    <row r="412" spans="1:5" ht="14.25" customHeight="1" x14ac:dyDescent="0.35">
      <c r="A412" s="1"/>
      <c r="B412" s="1"/>
      <c r="C412" s="1"/>
      <c r="D412" s="2"/>
      <c r="E412" s="1"/>
    </row>
    <row r="413" spans="1:5" ht="14.25" customHeight="1" x14ac:dyDescent="0.35">
      <c r="A413" s="1"/>
      <c r="B413" s="1"/>
      <c r="C413" s="1"/>
      <c r="D413" s="2"/>
      <c r="E413" s="1"/>
    </row>
    <row r="414" spans="1:5" ht="14.25" customHeight="1" x14ac:dyDescent="0.35">
      <c r="A414" s="1"/>
      <c r="B414" s="1"/>
      <c r="C414" s="1"/>
      <c r="D414" s="2"/>
      <c r="E414" s="1"/>
    </row>
    <row r="415" spans="1:5" ht="14.25" customHeight="1" x14ac:dyDescent="0.35">
      <c r="A415" s="1"/>
      <c r="B415" s="1"/>
      <c r="C415" s="1"/>
      <c r="D415" s="2"/>
      <c r="E415" s="1"/>
    </row>
    <row r="416" spans="1:5" ht="14.25" customHeight="1" x14ac:dyDescent="0.35">
      <c r="A416" s="1"/>
      <c r="B416" s="1"/>
      <c r="C416" s="1"/>
      <c r="D416" s="2"/>
      <c r="E416" s="1"/>
    </row>
    <row r="417" spans="1:5" ht="14.25" customHeight="1" x14ac:dyDescent="0.35">
      <c r="A417" s="1"/>
      <c r="B417" s="1"/>
      <c r="C417" s="1"/>
      <c r="D417" s="2"/>
      <c r="E417" s="1"/>
    </row>
    <row r="418" spans="1:5" ht="14.25" customHeight="1" x14ac:dyDescent="0.35">
      <c r="A418" s="1"/>
      <c r="B418" s="1"/>
      <c r="C418" s="1"/>
      <c r="D418" s="2"/>
      <c r="E418" s="1"/>
    </row>
    <row r="419" spans="1:5" ht="14.25" customHeight="1" x14ac:dyDescent="0.35">
      <c r="A419" s="1"/>
      <c r="B419" s="1"/>
      <c r="C419" s="1"/>
      <c r="D419" s="2"/>
      <c r="E419" s="1"/>
    </row>
    <row r="420" spans="1:5" ht="14.25" customHeight="1" x14ac:dyDescent="0.35">
      <c r="A420" s="1"/>
      <c r="B420" s="1"/>
      <c r="C420" s="1"/>
      <c r="D420" s="2"/>
      <c r="E420" s="1"/>
    </row>
    <row r="421" spans="1:5" ht="14.25" customHeight="1" x14ac:dyDescent="0.35">
      <c r="A421" s="1"/>
      <c r="B421" s="1"/>
      <c r="C421" s="1"/>
      <c r="D421" s="2"/>
      <c r="E421" s="1"/>
    </row>
    <row r="422" spans="1:5" ht="14.25" customHeight="1" x14ac:dyDescent="0.35">
      <c r="A422" s="1"/>
      <c r="B422" s="1"/>
      <c r="C422" s="1"/>
      <c r="D422" s="2"/>
      <c r="E422" s="1"/>
    </row>
    <row r="423" spans="1:5" ht="14.25" customHeight="1" x14ac:dyDescent="0.35">
      <c r="A423" s="1"/>
      <c r="B423" s="1"/>
      <c r="C423" s="1"/>
      <c r="D423" s="2"/>
      <c r="E423" s="1"/>
    </row>
    <row r="424" spans="1:5" ht="14.25" customHeight="1" x14ac:dyDescent="0.35">
      <c r="A424" s="1"/>
      <c r="B424" s="1"/>
      <c r="C424" s="1"/>
      <c r="D424" s="2"/>
      <c r="E424" s="1"/>
    </row>
    <row r="425" spans="1:5" ht="14.25" customHeight="1" x14ac:dyDescent="0.35">
      <c r="A425" s="1"/>
      <c r="B425" s="1"/>
      <c r="C425" s="1"/>
      <c r="D425" s="2"/>
      <c r="E425" s="1"/>
    </row>
    <row r="426" spans="1:5" ht="14.25" customHeight="1" x14ac:dyDescent="0.35">
      <c r="A426" s="1"/>
      <c r="B426" s="1"/>
      <c r="C426" s="1"/>
      <c r="D426" s="2"/>
      <c r="E426" s="1"/>
    </row>
    <row r="427" spans="1:5" ht="14.25" customHeight="1" x14ac:dyDescent="0.35">
      <c r="A427" s="1"/>
      <c r="B427" s="1"/>
      <c r="C427" s="1"/>
      <c r="D427" s="2"/>
      <c r="E427" s="1"/>
    </row>
    <row r="428" spans="1:5" ht="14.25" customHeight="1" x14ac:dyDescent="0.35">
      <c r="A428" s="1"/>
      <c r="B428" s="1"/>
      <c r="C428" s="1"/>
      <c r="D428" s="2"/>
      <c r="E428" s="1"/>
    </row>
    <row r="429" spans="1:5" ht="14.25" customHeight="1" x14ac:dyDescent="0.35">
      <c r="A429" s="1"/>
      <c r="B429" s="1"/>
      <c r="C429" s="1"/>
      <c r="D429" s="2"/>
      <c r="E429" s="1"/>
    </row>
    <row r="430" spans="1:5" ht="14.25" customHeight="1" x14ac:dyDescent="0.35">
      <c r="A430" s="1"/>
      <c r="B430" s="1"/>
      <c r="C430" s="1"/>
      <c r="D430" s="2"/>
      <c r="E430" s="1"/>
    </row>
    <row r="431" spans="1:5" ht="14.25" customHeight="1" x14ac:dyDescent="0.35">
      <c r="A431" s="1"/>
      <c r="B431" s="1"/>
      <c r="C431" s="1"/>
      <c r="D431" s="2"/>
      <c r="E431" s="1"/>
    </row>
    <row r="432" spans="1:5" ht="14.25" customHeight="1" x14ac:dyDescent="0.35">
      <c r="A432" s="1"/>
      <c r="B432" s="1"/>
      <c r="C432" s="1"/>
      <c r="D432" s="2"/>
      <c r="E432" s="1"/>
    </row>
    <row r="433" spans="1:5" ht="14.25" customHeight="1" x14ac:dyDescent="0.35">
      <c r="A433" s="1"/>
      <c r="B433" s="1"/>
      <c r="C433" s="1"/>
      <c r="D433" s="2"/>
      <c r="E433" s="1"/>
    </row>
    <row r="434" spans="1:5" ht="14.25" customHeight="1" x14ac:dyDescent="0.35">
      <c r="A434" s="1"/>
      <c r="B434" s="1"/>
      <c r="C434" s="1"/>
      <c r="D434" s="2"/>
      <c r="E434" s="1"/>
    </row>
    <row r="435" spans="1:5" ht="14.25" customHeight="1" x14ac:dyDescent="0.35">
      <c r="A435" s="1"/>
      <c r="B435" s="1"/>
      <c r="C435" s="1"/>
      <c r="D435" s="2"/>
      <c r="E435" s="1"/>
    </row>
    <row r="436" spans="1:5" ht="14.25" customHeight="1" x14ac:dyDescent="0.35">
      <c r="A436" s="1"/>
      <c r="B436" s="1"/>
      <c r="C436" s="1"/>
      <c r="D436" s="2"/>
      <c r="E436" s="1"/>
    </row>
    <row r="437" spans="1:5" ht="14.25" customHeight="1" x14ac:dyDescent="0.35">
      <c r="A437" s="1"/>
      <c r="B437" s="1"/>
      <c r="C437" s="1"/>
      <c r="D437" s="2"/>
      <c r="E437" s="1"/>
    </row>
    <row r="438" spans="1:5" ht="14.25" customHeight="1" x14ac:dyDescent="0.35">
      <c r="A438" s="1"/>
      <c r="B438" s="1"/>
      <c r="C438" s="1"/>
      <c r="D438" s="2"/>
      <c r="E438" s="1"/>
    </row>
    <row r="439" spans="1:5" ht="14.25" customHeight="1" x14ac:dyDescent="0.35">
      <c r="A439" s="1"/>
      <c r="B439" s="1"/>
      <c r="C439" s="1"/>
      <c r="D439" s="2"/>
      <c r="E439" s="1"/>
    </row>
    <row r="440" spans="1:5" ht="14.25" customHeight="1" x14ac:dyDescent="0.35">
      <c r="A440" s="1"/>
      <c r="B440" s="1"/>
      <c r="C440" s="1"/>
      <c r="D440" s="2"/>
      <c r="E440" s="1"/>
    </row>
    <row r="441" spans="1:5" ht="14.25" customHeight="1" x14ac:dyDescent="0.35">
      <c r="A441" s="1"/>
      <c r="B441" s="1"/>
      <c r="C441" s="1"/>
      <c r="D441" s="2"/>
      <c r="E441" s="1"/>
    </row>
    <row r="442" spans="1:5" ht="14.25" customHeight="1" x14ac:dyDescent="0.35">
      <c r="A442" s="1"/>
      <c r="B442" s="1"/>
      <c r="C442" s="1"/>
      <c r="D442" s="2"/>
      <c r="E442" s="1"/>
    </row>
    <row r="443" spans="1:5" ht="14.25" customHeight="1" x14ac:dyDescent="0.35">
      <c r="A443" s="1"/>
      <c r="B443" s="1"/>
      <c r="C443" s="1"/>
      <c r="D443" s="2"/>
      <c r="E443" s="1"/>
    </row>
    <row r="444" spans="1:5" ht="14.25" customHeight="1" x14ac:dyDescent="0.35">
      <c r="A444" s="1"/>
      <c r="B444" s="1"/>
      <c r="C444" s="1"/>
      <c r="D444" s="2"/>
      <c r="E444" s="1"/>
    </row>
    <row r="445" spans="1:5" ht="14.25" customHeight="1" x14ac:dyDescent="0.35">
      <c r="A445" s="1"/>
      <c r="B445" s="1"/>
      <c r="C445" s="1"/>
      <c r="D445" s="2"/>
      <c r="E445" s="1"/>
    </row>
    <row r="446" spans="1:5" ht="14.25" customHeight="1" x14ac:dyDescent="0.35">
      <c r="A446" s="1"/>
      <c r="B446" s="1"/>
      <c r="C446" s="1"/>
      <c r="D446" s="2"/>
      <c r="E446" s="1"/>
    </row>
    <row r="447" spans="1:5" ht="14.25" customHeight="1" x14ac:dyDescent="0.35">
      <c r="A447" s="1"/>
      <c r="B447" s="1"/>
      <c r="C447" s="1"/>
      <c r="D447" s="2"/>
      <c r="E447" s="1"/>
    </row>
    <row r="448" spans="1:5" ht="14.25" customHeight="1" x14ac:dyDescent="0.35">
      <c r="A448" s="1"/>
      <c r="B448" s="1"/>
      <c r="C448" s="1"/>
      <c r="D448" s="2"/>
      <c r="E448" s="1"/>
    </row>
    <row r="449" spans="1:5" ht="14.25" customHeight="1" x14ac:dyDescent="0.35">
      <c r="A449" s="1"/>
      <c r="B449" s="1"/>
      <c r="C449" s="1"/>
      <c r="D449" s="2"/>
      <c r="E449" s="1"/>
    </row>
    <row r="450" spans="1:5" ht="14.25" customHeight="1" x14ac:dyDescent="0.35">
      <c r="A450" s="1"/>
      <c r="B450" s="1"/>
      <c r="C450" s="1"/>
      <c r="D450" s="2"/>
      <c r="E450" s="1"/>
    </row>
    <row r="451" spans="1:5" ht="14.25" customHeight="1" x14ac:dyDescent="0.35">
      <c r="A451" s="1"/>
      <c r="B451" s="1"/>
      <c r="C451" s="1"/>
      <c r="D451" s="2"/>
      <c r="E451" s="1"/>
    </row>
    <row r="452" spans="1:5" ht="14.25" customHeight="1" x14ac:dyDescent="0.35">
      <c r="A452" s="1"/>
      <c r="B452" s="1"/>
      <c r="C452" s="1"/>
      <c r="D452" s="2"/>
      <c r="E452" s="1"/>
    </row>
    <row r="453" spans="1:5" ht="14.25" customHeight="1" x14ac:dyDescent="0.35">
      <c r="A453" s="1"/>
      <c r="B453" s="1"/>
      <c r="C453" s="1"/>
      <c r="D453" s="2"/>
      <c r="E453" s="1"/>
    </row>
    <row r="454" spans="1:5" ht="14.25" customHeight="1" x14ac:dyDescent="0.35">
      <c r="A454" s="1"/>
      <c r="B454" s="1"/>
      <c r="C454" s="1"/>
      <c r="D454" s="2"/>
      <c r="E454" s="1"/>
    </row>
    <row r="455" spans="1:5" ht="14.25" customHeight="1" x14ac:dyDescent="0.35">
      <c r="A455" s="1"/>
      <c r="B455" s="1"/>
      <c r="C455" s="1"/>
      <c r="D455" s="2"/>
      <c r="E455" s="1"/>
    </row>
    <row r="456" spans="1:5" ht="14.25" customHeight="1" x14ac:dyDescent="0.35">
      <c r="A456" s="1"/>
      <c r="B456" s="1"/>
      <c r="C456" s="1"/>
      <c r="D456" s="2"/>
      <c r="E456" s="1"/>
    </row>
    <row r="457" spans="1:5" ht="14.25" customHeight="1" x14ac:dyDescent="0.35">
      <c r="A457" s="1"/>
      <c r="B457" s="1"/>
      <c r="C457" s="1"/>
      <c r="D457" s="2"/>
      <c r="E457" s="1"/>
    </row>
    <row r="458" spans="1:5" ht="14.25" customHeight="1" x14ac:dyDescent="0.35">
      <c r="A458" s="1"/>
      <c r="B458" s="1"/>
      <c r="C458" s="1"/>
      <c r="D458" s="2"/>
      <c r="E458" s="1"/>
    </row>
    <row r="459" spans="1:5" ht="14.25" customHeight="1" x14ac:dyDescent="0.35">
      <c r="A459" s="1"/>
      <c r="B459" s="1"/>
      <c r="C459" s="1"/>
      <c r="D459" s="2"/>
      <c r="E459" s="1"/>
    </row>
    <row r="460" spans="1:5" ht="14.25" customHeight="1" x14ac:dyDescent="0.35">
      <c r="A460" s="1"/>
      <c r="B460" s="1"/>
      <c r="C460" s="1"/>
      <c r="D460" s="2"/>
      <c r="E460" s="1"/>
    </row>
    <row r="461" spans="1:5" ht="14.25" customHeight="1" x14ac:dyDescent="0.35">
      <c r="A461" s="1"/>
      <c r="B461" s="1"/>
      <c r="C461" s="1"/>
      <c r="D461" s="2"/>
      <c r="E461" s="1"/>
    </row>
    <row r="462" spans="1:5" ht="14.25" customHeight="1" x14ac:dyDescent="0.35">
      <c r="A462" s="1"/>
      <c r="B462" s="1"/>
      <c r="C462" s="1"/>
      <c r="D462" s="2"/>
      <c r="E462" s="1"/>
    </row>
    <row r="463" spans="1:5" ht="14.25" customHeight="1" x14ac:dyDescent="0.35">
      <c r="A463" s="1"/>
      <c r="B463" s="1"/>
      <c r="C463" s="1"/>
      <c r="D463" s="2"/>
      <c r="E463" s="1"/>
    </row>
    <row r="464" spans="1:5" ht="14.25" customHeight="1" x14ac:dyDescent="0.35">
      <c r="A464" s="1"/>
      <c r="B464" s="1"/>
      <c r="C464" s="1"/>
      <c r="D464" s="2"/>
      <c r="E464" s="1"/>
    </row>
    <row r="465" spans="1:5" ht="14.25" customHeight="1" x14ac:dyDescent="0.35">
      <c r="A465" s="1"/>
      <c r="B465" s="1"/>
      <c r="C465" s="1"/>
      <c r="D465" s="2"/>
      <c r="E465" s="1"/>
    </row>
    <row r="466" spans="1:5" ht="14.25" customHeight="1" x14ac:dyDescent="0.35">
      <c r="A466" s="1"/>
      <c r="B466" s="1"/>
      <c r="C466" s="1"/>
      <c r="D466" s="2"/>
      <c r="E466" s="1"/>
    </row>
    <row r="467" spans="1:5" ht="14.25" customHeight="1" x14ac:dyDescent="0.35">
      <c r="A467" s="1"/>
      <c r="B467" s="1"/>
      <c r="C467" s="1"/>
      <c r="D467" s="2"/>
      <c r="E467" s="1"/>
    </row>
    <row r="468" spans="1:5" ht="14.25" customHeight="1" x14ac:dyDescent="0.35">
      <c r="A468" s="1"/>
      <c r="B468" s="1"/>
      <c r="C468" s="1"/>
      <c r="D468" s="2"/>
      <c r="E468" s="1"/>
    </row>
    <row r="469" spans="1:5" ht="14.25" customHeight="1" x14ac:dyDescent="0.35">
      <c r="A469" s="1"/>
      <c r="B469" s="1"/>
      <c r="C469" s="1"/>
      <c r="D469" s="2"/>
      <c r="E469" s="1"/>
    </row>
    <row r="470" spans="1:5" ht="14.25" customHeight="1" x14ac:dyDescent="0.35">
      <c r="A470" s="1"/>
      <c r="B470" s="1"/>
      <c r="C470" s="1"/>
      <c r="D470" s="2"/>
      <c r="E470" s="1"/>
    </row>
    <row r="471" spans="1:5" ht="14.25" customHeight="1" x14ac:dyDescent="0.35">
      <c r="A471" s="1"/>
      <c r="B471" s="1"/>
      <c r="C471" s="1"/>
      <c r="D471" s="2"/>
      <c r="E471" s="1"/>
    </row>
    <row r="472" spans="1:5" ht="14.25" customHeight="1" x14ac:dyDescent="0.35">
      <c r="A472" s="1"/>
      <c r="B472" s="1"/>
      <c r="C472" s="1"/>
      <c r="D472" s="2"/>
      <c r="E472" s="1"/>
    </row>
    <row r="473" spans="1:5" ht="14.25" customHeight="1" x14ac:dyDescent="0.35">
      <c r="A473" s="1"/>
      <c r="B473" s="1"/>
      <c r="C473" s="1"/>
      <c r="D473" s="2"/>
      <c r="E473" s="1"/>
    </row>
    <row r="474" spans="1:5" ht="14.25" customHeight="1" x14ac:dyDescent="0.35">
      <c r="A474" s="1"/>
      <c r="B474" s="1"/>
      <c r="C474" s="1"/>
      <c r="D474" s="2"/>
      <c r="E474" s="1"/>
    </row>
    <row r="475" spans="1:5" ht="14.25" customHeight="1" x14ac:dyDescent="0.35">
      <c r="A475" s="1"/>
      <c r="B475" s="1"/>
      <c r="C475" s="1"/>
      <c r="D475" s="2"/>
      <c r="E475" s="1"/>
    </row>
    <row r="476" spans="1:5" ht="14.25" customHeight="1" x14ac:dyDescent="0.35">
      <c r="A476" s="1"/>
      <c r="B476" s="1"/>
      <c r="C476" s="1"/>
      <c r="D476" s="2"/>
      <c r="E476" s="1"/>
    </row>
    <row r="477" spans="1:5" ht="14.25" customHeight="1" x14ac:dyDescent="0.35">
      <c r="A477" s="1"/>
      <c r="B477" s="1"/>
      <c r="C477" s="1"/>
      <c r="D477" s="2"/>
      <c r="E477" s="1"/>
    </row>
    <row r="478" spans="1:5" ht="14.25" customHeight="1" x14ac:dyDescent="0.35">
      <c r="A478" s="1"/>
      <c r="B478" s="1"/>
      <c r="C478" s="1"/>
      <c r="D478" s="2"/>
      <c r="E478" s="1"/>
    </row>
    <row r="479" spans="1:5" ht="14.25" customHeight="1" x14ac:dyDescent="0.35">
      <c r="A479" s="1"/>
      <c r="B479" s="1"/>
      <c r="C479" s="1"/>
      <c r="D479" s="2"/>
      <c r="E479" s="1"/>
    </row>
    <row r="480" spans="1:5" ht="14.25" customHeight="1" x14ac:dyDescent="0.35">
      <c r="A480" s="1"/>
      <c r="B480" s="1"/>
      <c r="C480" s="1"/>
      <c r="D480" s="2"/>
      <c r="E480" s="1"/>
    </row>
    <row r="481" spans="1:5" ht="14.25" customHeight="1" x14ac:dyDescent="0.35">
      <c r="A481" s="1"/>
      <c r="B481" s="1"/>
      <c r="C481" s="1"/>
      <c r="D481" s="2"/>
      <c r="E481" s="1"/>
    </row>
    <row r="482" spans="1:5" ht="14.25" customHeight="1" x14ac:dyDescent="0.35">
      <c r="A482" s="1"/>
      <c r="B482" s="1"/>
      <c r="C482" s="1"/>
      <c r="D482" s="2"/>
      <c r="E482" s="1"/>
    </row>
    <row r="483" spans="1:5" ht="14.25" customHeight="1" x14ac:dyDescent="0.35">
      <c r="A483" s="1"/>
      <c r="B483" s="1"/>
      <c r="C483" s="1"/>
      <c r="D483" s="2"/>
      <c r="E483" s="1"/>
    </row>
    <row r="484" spans="1:5" ht="14.25" customHeight="1" x14ac:dyDescent="0.35">
      <c r="A484" s="1"/>
      <c r="B484" s="1"/>
      <c r="C484" s="1"/>
      <c r="D484" s="2"/>
      <c r="E484" s="1"/>
    </row>
    <row r="485" spans="1:5" ht="14.25" customHeight="1" x14ac:dyDescent="0.35">
      <c r="A485" s="1"/>
      <c r="B485" s="1"/>
      <c r="C485" s="1"/>
      <c r="D485" s="2"/>
      <c r="E485" s="1"/>
    </row>
    <row r="486" spans="1:5" ht="14.25" customHeight="1" x14ac:dyDescent="0.35">
      <c r="A486" s="1"/>
      <c r="B486" s="1"/>
      <c r="C486" s="1"/>
      <c r="D486" s="2"/>
      <c r="E486" s="1"/>
    </row>
    <row r="487" spans="1:5" ht="14.25" customHeight="1" x14ac:dyDescent="0.35">
      <c r="A487" s="1"/>
      <c r="B487" s="1"/>
      <c r="C487" s="1"/>
      <c r="D487" s="2"/>
      <c r="E487" s="1"/>
    </row>
    <row r="488" spans="1:5" ht="14.25" customHeight="1" x14ac:dyDescent="0.35">
      <c r="A488" s="1"/>
      <c r="B488" s="1"/>
      <c r="C488" s="1"/>
      <c r="D488" s="2"/>
      <c r="E488" s="1"/>
    </row>
    <row r="489" spans="1:5" ht="14.25" customHeight="1" x14ac:dyDescent="0.35">
      <c r="A489" s="1"/>
      <c r="B489" s="1"/>
      <c r="C489" s="1"/>
      <c r="D489" s="2"/>
      <c r="E489" s="1"/>
    </row>
    <row r="490" spans="1:5" ht="14.25" customHeight="1" x14ac:dyDescent="0.35">
      <c r="A490" s="1"/>
      <c r="B490" s="1"/>
      <c r="C490" s="1"/>
      <c r="D490" s="2"/>
      <c r="E490" s="1"/>
    </row>
    <row r="491" spans="1:5" ht="14.25" customHeight="1" x14ac:dyDescent="0.35">
      <c r="A491" s="1"/>
      <c r="B491" s="1"/>
      <c r="C491" s="1"/>
      <c r="D491" s="2"/>
      <c r="E491" s="1"/>
    </row>
    <row r="492" spans="1:5" ht="14.25" customHeight="1" x14ac:dyDescent="0.35">
      <c r="A492" s="1"/>
      <c r="B492" s="1"/>
      <c r="C492" s="1"/>
      <c r="D492" s="2"/>
      <c r="E492" s="1"/>
    </row>
    <row r="493" spans="1:5" ht="14.25" customHeight="1" x14ac:dyDescent="0.35">
      <c r="A493" s="1"/>
      <c r="B493" s="1"/>
      <c r="C493" s="1"/>
      <c r="D493" s="2"/>
      <c r="E493" s="1"/>
    </row>
    <row r="494" spans="1:5" ht="14.25" customHeight="1" x14ac:dyDescent="0.35">
      <c r="A494" s="1"/>
      <c r="B494" s="1"/>
      <c r="C494" s="1"/>
      <c r="D494" s="2"/>
      <c r="E494" s="1"/>
    </row>
    <row r="495" spans="1:5" ht="14.25" customHeight="1" x14ac:dyDescent="0.35">
      <c r="A495" s="1"/>
      <c r="B495" s="1"/>
      <c r="C495" s="1"/>
      <c r="D495" s="2"/>
      <c r="E495" s="1"/>
    </row>
    <row r="496" spans="1:5" ht="14.25" customHeight="1" x14ac:dyDescent="0.35">
      <c r="A496" s="1"/>
      <c r="B496" s="1"/>
      <c r="C496" s="1"/>
      <c r="D496" s="2"/>
      <c r="E496" s="1"/>
    </row>
    <row r="497" spans="1:5" ht="14.25" customHeight="1" x14ac:dyDescent="0.35">
      <c r="A497" s="1"/>
      <c r="B497" s="1"/>
      <c r="C497" s="1"/>
      <c r="D497" s="2"/>
      <c r="E497" s="1"/>
    </row>
    <row r="498" spans="1:5" ht="14.25" customHeight="1" x14ac:dyDescent="0.35">
      <c r="A498" s="1"/>
      <c r="B498" s="1"/>
      <c r="C498" s="1"/>
      <c r="D498" s="2"/>
      <c r="E498" s="1"/>
    </row>
    <row r="499" spans="1:5" ht="14.25" customHeight="1" x14ac:dyDescent="0.35">
      <c r="A499" s="1"/>
      <c r="B499" s="1"/>
      <c r="C499" s="1"/>
      <c r="D499" s="2"/>
      <c r="E499" s="1"/>
    </row>
    <row r="500" spans="1:5" ht="14.25" customHeight="1" x14ac:dyDescent="0.35">
      <c r="A500" s="1"/>
      <c r="B500" s="1"/>
      <c r="C500" s="1"/>
      <c r="D500" s="2"/>
      <c r="E500" s="1"/>
    </row>
    <row r="501" spans="1:5" ht="14.25" customHeight="1" x14ac:dyDescent="0.35">
      <c r="A501" s="1"/>
      <c r="B501" s="1"/>
      <c r="C501" s="1"/>
      <c r="D501" s="2"/>
      <c r="E501" s="1"/>
    </row>
    <row r="502" spans="1:5" ht="14.25" customHeight="1" x14ac:dyDescent="0.35">
      <c r="A502" s="1"/>
      <c r="B502" s="1"/>
      <c r="C502" s="1"/>
      <c r="D502" s="2"/>
      <c r="E502" s="1"/>
    </row>
    <row r="503" spans="1:5" ht="14.25" customHeight="1" x14ac:dyDescent="0.35">
      <c r="A503" s="1"/>
      <c r="B503" s="1"/>
      <c r="C503" s="1"/>
      <c r="D503" s="2"/>
      <c r="E503" s="1"/>
    </row>
    <row r="504" spans="1:5" ht="14.25" customHeight="1" x14ac:dyDescent="0.35">
      <c r="A504" s="1"/>
      <c r="B504" s="1"/>
      <c r="C504" s="1"/>
      <c r="D504" s="2"/>
      <c r="E504" s="1"/>
    </row>
    <row r="505" spans="1:5" ht="14.25" customHeight="1" x14ac:dyDescent="0.35">
      <c r="A505" s="1"/>
      <c r="B505" s="1"/>
      <c r="C505" s="1"/>
      <c r="D505" s="2"/>
      <c r="E505" s="1"/>
    </row>
    <row r="506" spans="1:5" ht="14.25" customHeight="1" x14ac:dyDescent="0.35">
      <c r="A506" s="1"/>
      <c r="B506" s="1"/>
      <c r="C506" s="1"/>
      <c r="D506" s="2"/>
      <c r="E506" s="1"/>
    </row>
    <row r="507" spans="1:5" ht="14.25" customHeight="1" x14ac:dyDescent="0.35">
      <c r="A507" s="1"/>
      <c r="B507" s="1"/>
      <c r="C507" s="1"/>
      <c r="D507" s="2"/>
      <c r="E507" s="1"/>
    </row>
    <row r="508" spans="1:5" ht="14.25" customHeight="1" x14ac:dyDescent="0.35">
      <c r="A508" s="1"/>
      <c r="B508" s="1"/>
      <c r="C508" s="1"/>
      <c r="D508" s="2"/>
      <c r="E508" s="1"/>
    </row>
    <row r="509" spans="1:5" ht="14.25" customHeight="1" x14ac:dyDescent="0.35">
      <c r="A509" s="1"/>
      <c r="B509" s="1"/>
      <c r="C509" s="1"/>
      <c r="D509" s="2"/>
      <c r="E509" s="1"/>
    </row>
    <row r="510" spans="1:5" ht="14.25" customHeight="1" x14ac:dyDescent="0.35">
      <c r="A510" s="1"/>
      <c r="B510" s="1"/>
      <c r="C510" s="1"/>
      <c r="D510" s="2"/>
      <c r="E510" s="1"/>
    </row>
    <row r="511" spans="1:5" ht="14.25" customHeight="1" x14ac:dyDescent="0.35">
      <c r="A511" s="1"/>
      <c r="B511" s="1"/>
      <c r="C511" s="1"/>
      <c r="D511" s="2"/>
      <c r="E511" s="1"/>
    </row>
    <row r="512" spans="1:5" ht="14.25" customHeight="1" x14ac:dyDescent="0.35">
      <c r="A512" s="1"/>
      <c r="B512" s="1"/>
      <c r="C512" s="1"/>
      <c r="D512" s="2"/>
      <c r="E512" s="1"/>
    </row>
    <row r="513" spans="1:5" ht="14.25" customHeight="1" x14ac:dyDescent="0.35">
      <c r="A513" s="1"/>
      <c r="B513" s="1"/>
      <c r="C513" s="1"/>
      <c r="D513" s="2"/>
      <c r="E513" s="1"/>
    </row>
    <row r="514" spans="1:5" ht="14.25" customHeight="1" x14ac:dyDescent="0.35">
      <c r="A514" s="1"/>
      <c r="B514" s="1"/>
      <c r="C514" s="1"/>
      <c r="D514" s="2"/>
      <c r="E514" s="1"/>
    </row>
    <row r="515" spans="1:5" ht="14.25" customHeight="1" x14ac:dyDescent="0.35">
      <c r="A515" s="1"/>
      <c r="B515" s="1"/>
      <c r="C515" s="1"/>
      <c r="D515" s="2"/>
      <c r="E515" s="1"/>
    </row>
    <row r="516" spans="1:5" ht="14.25" customHeight="1" x14ac:dyDescent="0.35">
      <c r="A516" s="1"/>
      <c r="B516" s="1"/>
      <c r="C516" s="1"/>
      <c r="D516" s="2"/>
      <c r="E516" s="1"/>
    </row>
    <row r="517" spans="1:5" ht="14.25" customHeight="1" x14ac:dyDescent="0.35">
      <c r="A517" s="1"/>
      <c r="B517" s="1"/>
      <c r="C517" s="1"/>
      <c r="D517" s="2"/>
      <c r="E517" s="1"/>
    </row>
    <row r="518" spans="1:5" ht="14.25" customHeight="1" x14ac:dyDescent="0.35">
      <c r="A518" s="1"/>
      <c r="B518" s="1"/>
      <c r="C518" s="1"/>
      <c r="D518" s="2"/>
      <c r="E518" s="1"/>
    </row>
    <row r="519" spans="1:5" ht="14.25" customHeight="1" x14ac:dyDescent="0.35">
      <c r="A519" s="1"/>
      <c r="B519" s="1"/>
      <c r="C519" s="1"/>
      <c r="D519" s="2"/>
      <c r="E519" s="1"/>
    </row>
    <row r="520" spans="1:5" ht="14.25" customHeight="1" x14ac:dyDescent="0.35">
      <c r="A520" s="1"/>
      <c r="B520" s="1"/>
      <c r="C520" s="1"/>
      <c r="D520" s="2"/>
      <c r="E520" s="1"/>
    </row>
    <row r="521" spans="1:5" ht="14.25" customHeight="1" x14ac:dyDescent="0.35">
      <c r="A521" s="1"/>
      <c r="B521" s="1"/>
      <c r="C521" s="1"/>
      <c r="D521" s="2"/>
      <c r="E521" s="1"/>
    </row>
    <row r="522" spans="1:5" ht="14.25" customHeight="1" x14ac:dyDescent="0.35">
      <c r="A522" s="1"/>
      <c r="B522" s="1"/>
      <c r="C522" s="1"/>
      <c r="D522" s="2"/>
      <c r="E522" s="1"/>
    </row>
    <row r="523" spans="1:5" ht="14.25" customHeight="1" x14ac:dyDescent="0.35">
      <c r="A523" s="1"/>
      <c r="B523" s="1"/>
      <c r="C523" s="1"/>
      <c r="D523" s="2"/>
      <c r="E523" s="1"/>
    </row>
    <row r="524" spans="1:5" ht="14.25" customHeight="1" x14ac:dyDescent="0.35">
      <c r="A524" s="1"/>
      <c r="B524" s="1"/>
      <c r="C524" s="1"/>
      <c r="D524" s="2"/>
      <c r="E524" s="1"/>
    </row>
    <row r="525" spans="1:5" ht="14.25" customHeight="1" x14ac:dyDescent="0.35">
      <c r="A525" s="1"/>
      <c r="B525" s="1"/>
      <c r="C525" s="1"/>
      <c r="D525" s="2"/>
      <c r="E525" s="1"/>
    </row>
    <row r="526" spans="1:5" ht="14.25" customHeight="1" x14ac:dyDescent="0.35">
      <c r="A526" s="1"/>
      <c r="B526" s="1"/>
      <c r="C526" s="1"/>
      <c r="D526" s="2"/>
      <c r="E526" s="1"/>
    </row>
    <row r="527" spans="1:5" ht="14.25" customHeight="1" x14ac:dyDescent="0.35">
      <c r="A527" s="1"/>
      <c r="B527" s="1"/>
      <c r="C527" s="1"/>
      <c r="D527" s="2"/>
      <c r="E527" s="1"/>
    </row>
    <row r="528" spans="1:5" ht="14.25" customHeight="1" x14ac:dyDescent="0.35">
      <c r="A528" s="1"/>
      <c r="B528" s="1"/>
      <c r="C528" s="1"/>
      <c r="D528" s="2"/>
      <c r="E528" s="1"/>
    </row>
    <row r="529" spans="1:5" ht="14.25" customHeight="1" x14ac:dyDescent="0.35">
      <c r="A529" s="1"/>
      <c r="B529" s="1"/>
      <c r="C529" s="1"/>
      <c r="D529" s="2"/>
      <c r="E529" s="1"/>
    </row>
    <row r="530" spans="1:5" ht="14.25" customHeight="1" x14ac:dyDescent="0.35">
      <c r="A530" s="1"/>
      <c r="B530" s="1"/>
      <c r="C530" s="1"/>
      <c r="D530" s="2"/>
      <c r="E530" s="1"/>
    </row>
    <row r="531" spans="1:5" ht="14.25" customHeight="1" x14ac:dyDescent="0.35">
      <c r="A531" s="1"/>
      <c r="B531" s="1"/>
      <c r="C531" s="1"/>
      <c r="D531" s="2"/>
      <c r="E531" s="1"/>
    </row>
    <row r="532" spans="1:5" ht="14.25" customHeight="1" x14ac:dyDescent="0.35">
      <c r="A532" s="1"/>
      <c r="B532" s="1"/>
      <c r="C532" s="1"/>
      <c r="D532" s="2"/>
      <c r="E532" s="1"/>
    </row>
    <row r="533" spans="1:5" ht="14.25" customHeight="1" x14ac:dyDescent="0.35">
      <c r="A533" s="1"/>
      <c r="B533" s="1"/>
      <c r="C533" s="1"/>
      <c r="D533" s="2"/>
      <c r="E533" s="1"/>
    </row>
    <row r="534" spans="1:5" ht="14.25" customHeight="1" x14ac:dyDescent="0.35">
      <c r="A534" s="1"/>
      <c r="B534" s="1"/>
      <c r="C534" s="1"/>
      <c r="D534" s="2"/>
      <c r="E534" s="1"/>
    </row>
    <row r="535" spans="1:5" ht="14.25" customHeight="1" x14ac:dyDescent="0.35">
      <c r="A535" s="1"/>
      <c r="B535" s="1"/>
      <c r="C535" s="1"/>
      <c r="D535" s="2"/>
      <c r="E535" s="1"/>
    </row>
    <row r="536" spans="1:5" ht="14.25" customHeight="1" x14ac:dyDescent="0.35">
      <c r="A536" s="1"/>
      <c r="B536" s="1"/>
      <c r="C536" s="1"/>
      <c r="D536" s="2"/>
      <c r="E536" s="1"/>
    </row>
    <row r="537" spans="1:5" ht="14.25" customHeight="1" x14ac:dyDescent="0.35">
      <c r="A537" s="1"/>
      <c r="B537" s="1"/>
      <c r="C537" s="1"/>
      <c r="D537" s="2"/>
      <c r="E537" s="1"/>
    </row>
    <row r="538" spans="1:5" ht="14.25" customHeight="1" x14ac:dyDescent="0.35">
      <c r="A538" s="1"/>
      <c r="B538" s="1"/>
      <c r="C538" s="1"/>
      <c r="D538" s="2"/>
      <c r="E538" s="1"/>
    </row>
    <row r="539" spans="1:5" ht="14.25" customHeight="1" x14ac:dyDescent="0.35">
      <c r="A539" s="1"/>
      <c r="B539" s="1"/>
      <c r="C539" s="1"/>
      <c r="D539" s="2"/>
      <c r="E539" s="1"/>
    </row>
    <row r="540" spans="1:5" ht="14.25" customHeight="1" x14ac:dyDescent="0.35">
      <c r="A540" s="1"/>
      <c r="B540" s="1"/>
      <c r="C540" s="1"/>
      <c r="D540" s="2"/>
      <c r="E540" s="1"/>
    </row>
    <row r="541" spans="1:5" ht="14.25" customHeight="1" x14ac:dyDescent="0.35">
      <c r="A541" s="1"/>
      <c r="B541" s="1"/>
      <c r="C541" s="1"/>
      <c r="D541" s="2"/>
      <c r="E541" s="1"/>
    </row>
    <row r="542" spans="1:5" ht="14.25" customHeight="1" x14ac:dyDescent="0.35">
      <c r="A542" s="1"/>
      <c r="B542" s="1"/>
      <c r="C542" s="1"/>
      <c r="D542" s="2"/>
      <c r="E542" s="1"/>
    </row>
    <row r="543" spans="1:5" ht="14.25" customHeight="1" x14ac:dyDescent="0.35">
      <c r="A543" s="1"/>
      <c r="B543" s="1"/>
      <c r="C543" s="1"/>
      <c r="D543" s="2"/>
      <c r="E543" s="1"/>
    </row>
    <row r="544" spans="1:5" ht="14.25" customHeight="1" x14ac:dyDescent="0.35">
      <c r="A544" s="1"/>
      <c r="B544" s="1"/>
      <c r="C544" s="1"/>
      <c r="D544" s="2"/>
      <c r="E544" s="1"/>
    </row>
    <row r="545" spans="1:5" ht="14.25" customHeight="1" x14ac:dyDescent="0.35">
      <c r="A545" s="1"/>
      <c r="B545" s="1"/>
      <c r="C545" s="1"/>
      <c r="D545" s="2"/>
      <c r="E545" s="1"/>
    </row>
    <row r="546" spans="1:5" ht="14.25" customHeight="1" x14ac:dyDescent="0.35">
      <c r="A546" s="1"/>
      <c r="B546" s="1"/>
      <c r="C546" s="1"/>
      <c r="D546" s="2"/>
      <c r="E546" s="1"/>
    </row>
    <row r="547" spans="1:5" ht="14.25" customHeight="1" x14ac:dyDescent="0.35">
      <c r="A547" s="1"/>
      <c r="B547" s="1"/>
      <c r="C547" s="1"/>
      <c r="D547" s="2"/>
      <c r="E547" s="1"/>
    </row>
    <row r="548" spans="1:5" ht="14.25" customHeight="1" x14ac:dyDescent="0.35">
      <c r="A548" s="1"/>
      <c r="B548" s="1"/>
      <c r="C548" s="1"/>
      <c r="D548" s="2"/>
      <c r="E548" s="1"/>
    </row>
    <row r="549" spans="1:5" ht="14.25" customHeight="1" x14ac:dyDescent="0.35">
      <c r="A549" s="1"/>
      <c r="B549" s="1"/>
      <c r="C549" s="1"/>
      <c r="D549" s="2"/>
      <c r="E549" s="1"/>
    </row>
    <row r="550" spans="1:5" ht="14.25" customHeight="1" x14ac:dyDescent="0.35">
      <c r="A550" s="1"/>
      <c r="B550" s="1"/>
      <c r="C550" s="1"/>
      <c r="D550" s="2"/>
      <c r="E550" s="1"/>
    </row>
    <row r="551" spans="1:5" ht="14.25" customHeight="1" x14ac:dyDescent="0.35">
      <c r="A551" s="1"/>
      <c r="B551" s="1"/>
      <c r="C551" s="1"/>
      <c r="D551" s="2"/>
      <c r="E551" s="1"/>
    </row>
    <row r="552" spans="1:5" ht="14.25" customHeight="1" x14ac:dyDescent="0.35">
      <c r="A552" s="1"/>
      <c r="B552" s="1"/>
      <c r="C552" s="1"/>
      <c r="D552" s="2"/>
      <c r="E552" s="1"/>
    </row>
    <row r="553" spans="1:5" ht="14.25" customHeight="1" x14ac:dyDescent="0.35">
      <c r="A553" s="1"/>
      <c r="B553" s="1"/>
      <c r="C553" s="1"/>
      <c r="D553" s="2"/>
      <c r="E553" s="1"/>
    </row>
    <row r="554" spans="1:5" ht="14.25" customHeight="1" x14ac:dyDescent="0.35">
      <c r="A554" s="1"/>
      <c r="B554" s="1"/>
      <c r="C554" s="1"/>
      <c r="D554" s="2"/>
      <c r="E554" s="1"/>
    </row>
    <row r="555" spans="1:5" ht="14.25" customHeight="1" x14ac:dyDescent="0.35">
      <c r="A555" s="1"/>
      <c r="B555" s="1"/>
      <c r="C555" s="1"/>
      <c r="D555" s="2"/>
      <c r="E555" s="1"/>
    </row>
    <row r="556" spans="1:5" ht="14.25" customHeight="1" x14ac:dyDescent="0.35">
      <c r="A556" s="1"/>
      <c r="B556" s="1"/>
      <c r="C556" s="1"/>
      <c r="D556" s="2"/>
      <c r="E556" s="1"/>
    </row>
    <row r="557" spans="1:5" ht="14.25" customHeight="1" x14ac:dyDescent="0.35">
      <c r="A557" s="1"/>
      <c r="B557" s="1"/>
      <c r="C557" s="1"/>
      <c r="D557" s="2"/>
      <c r="E557" s="1"/>
    </row>
    <row r="558" spans="1:5" ht="14.25" customHeight="1" x14ac:dyDescent="0.35">
      <c r="A558" s="1"/>
      <c r="B558" s="1"/>
      <c r="C558" s="1"/>
      <c r="D558" s="2"/>
      <c r="E558" s="1"/>
    </row>
    <row r="559" spans="1:5" ht="14.25" customHeight="1" x14ac:dyDescent="0.35">
      <c r="A559" s="1"/>
      <c r="B559" s="1"/>
      <c r="C559" s="1"/>
      <c r="D559" s="2"/>
      <c r="E559" s="1"/>
    </row>
    <row r="560" spans="1:5" ht="14.25" customHeight="1" x14ac:dyDescent="0.35">
      <c r="A560" s="1"/>
      <c r="B560" s="1"/>
      <c r="C560" s="1"/>
      <c r="D560" s="2"/>
      <c r="E560" s="1"/>
    </row>
    <row r="561" spans="1:5" ht="14.25" customHeight="1" x14ac:dyDescent="0.35">
      <c r="A561" s="1"/>
      <c r="B561" s="1"/>
      <c r="C561" s="1"/>
      <c r="D561" s="2"/>
      <c r="E561" s="1"/>
    </row>
    <row r="562" spans="1:5" ht="14.25" customHeight="1" x14ac:dyDescent="0.35">
      <c r="A562" s="1"/>
      <c r="B562" s="1"/>
      <c r="C562" s="1"/>
      <c r="D562" s="2"/>
      <c r="E562" s="1"/>
    </row>
    <row r="563" spans="1:5" ht="14.25" customHeight="1" x14ac:dyDescent="0.35">
      <c r="A563" s="1"/>
      <c r="B563" s="1"/>
      <c r="C563" s="1"/>
      <c r="D563" s="2"/>
      <c r="E563" s="1"/>
    </row>
    <row r="564" spans="1:5" ht="14.25" customHeight="1" x14ac:dyDescent="0.35">
      <c r="A564" s="1"/>
      <c r="B564" s="1"/>
      <c r="C564" s="1"/>
      <c r="D564" s="2"/>
      <c r="E564" s="1"/>
    </row>
    <row r="565" spans="1:5" ht="14.25" customHeight="1" x14ac:dyDescent="0.35">
      <c r="A565" s="1"/>
      <c r="B565" s="1"/>
      <c r="C565" s="1"/>
      <c r="D565" s="2"/>
      <c r="E565" s="1"/>
    </row>
    <row r="566" spans="1:5" ht="14.25" customHeight="1" x14ac:dyDescent="0.35">
      <c r="A566" s="1"/>
      <c r="B566" s="1"/>
      <c r="C566" s="1"/>
      <c r="D566" s="2"/>
      <c r="E566" s="1"/>
    </row>
    <row r="567" spans="1:5" ht="14.25" customHeight="1" x14ac:dyDescent="0.35">
      <c r="A567" s="1"/>
      <c r="B567" s="1"/>
      <c r="C567" s="1"/>
      <c r="D567" s="2"/>
      <c r="E567" s="1"/>
    </row>
    <row r="568" spans="1:5" ht="14.25" customHeight="1" x14ac:dyDescent="0.35">
      <c r="A568" s="1"/>
      <c r="B568" s="1"/>
      <c r="C568" s="1"/>
      <c r="D568" s="2"/>
      <c r="E568" s="1"/>
    </row>
    <row r="569" spans="1:5" ht="14.25" customHeight="1" x14ac:dyDescent="0.35">
      <c r="A569" s="1"/>
      <c r="B569" s="1"/>
      <c r="C569" s="1"/>
      <c r="D569" s="2"/>
      <c r="E569" s="1"/>
    </row>
    <row r="570" spans="1:5" ht="14.25" customHeight="1" x14ac:dyDescent="0.35">
      <c r="A570" s="1"/>
      <c r="B570" s="1"/>
      <c r="C570" s="1"/>
      <c r="D570" s="2"/>
      <c r="E570" s="1"/>
    </row>
    <row r="571" spans="1:5" ht="14.25" customHeight="1" x14ac:dyDescent="0.35">
      <c r="A571" s="1"/>
      <c r="B571" s="1"/>
      <c r="C571" s="1"/>
      <c r="D571" s="2"/>
      <c r="E571" s="1"/>
    </row>
    <row r="572" spans="1:5" ht="14.25" customHeight="1" x14ac:dyDescent="0.35">
      <c r="A572" s="1"/>
      <c r="B572" s="1"/>
      <c r="C572" s="1"/>
      <c r="D572" s="2"/>
      <c r="E572" s="1"/>
    </row>
    <row r="573" spans="1:5" ht="14.25" customHeight="1" x14ac:dyDescent="0.35">
      <c r="A573" s="1"/>
      <c r="B573" s="1"/>
      <c r="C573" s="1"/>
      <c r="D573" s="2"/>
      <c r="E573" s="1"/>
    </row>
    <row r="574" spans="1:5" ht="14.25" customHeight="1" x14ac:dyDescent="0.35">
      <c r="A574" s="1"/>
      <c r="B574" s="1"/>
      <c r="C574" s="1"/>
      <c r="D574" s="2"/>
      <c r="E574" s="1"/>
    </row>
    <row r="575" spans="1:5" ht="14.25" customHeight="1" x14ac:dyDescent="0.35">
      <c r="A575" s="1"/>
      <c r="B575" s="1"/>
      <c r="C575" s="1"/>
      <c r="D575" s="2"/>
      <c r="E575" s="1"/>
    </row>
    <row r="576" spans="1:5" ht="14.25" customHeight="1" x14ac:dyDescent="0.35">
      <c r="A576" s="1"/>
      <c r="B576" s="1"/>
      <c r="C576" s="1"/>
      <c r="D576" s="2"/>
      <c r="E576" s="1"/>
    </row>
    <row r="577" spans="1:5" ht="14.25" customHeight="1" x14ac:dyDescent="0.35">
      <c r="A577" s="1"/>
      <c r="B577" s="1"/>
      <c r="C577" s="1"/>
      <c r="D577" s="2"/>
      <c r="E577" s="1"/>
    </row>
    <row r="578" spans="1:5" ht="14.25" customHeight="1" x14ac:dyDescent="0.35">
      <c r="A578" s="1"/>
      <c r="B578" s="1"/>
      <c r="C578" s="1"/>
      <c r="D578" s="2"/>
      <c r="E578" s="1"/>
    </row>
    <row r="579" spans="1:5" ht="14.25" customHeight="1" x14ac:dyDescent="0.35">
      <c r="A579" s="1"/>
      <c r="B579" s="1"/>
      <c r="C579" s="1"/>
      <c r="D579" s="2"/>
      <c r="E579" s="1"/>
    </row>
    <row r="580" spans="1:5" ht="14.25" customHeight="1" x14ac:dyDescent="0.35">
      <c r="A580" s="1"/>
      <c r="B580" s="1"/>
      <c r="C580" s="1"/>
      <c r="D580" s="2"/>
      <c r="E580" s="1"/>
    </row>
    <row r="581" spans="1:5" ht="14.25" customHeight="1" x14ac:dyDescent="0.35">
      <c r="A581" s="1"/>
      <c r="B581" s="1"/>
      <c r="C581" s="1"/>
      <c r="D581" s="2"/>
      <c r="E581" s="1"/>
    </row>
    <row r="582" spans="1:5" ht="14.25" customHeight="1" x14ac:dyDescent="0.35">
      <c r="A582" s="1"/>
      <c r="B582" s="1"/>
      <c r="C582" s="1"/>
      <c r="D582" s="2"/>
      <c r="E582" s="1"/>
    </row>
    <row r="583" spans="1:5" ht="14.25" customHeight="1" x14ac:dyDescent="0.35">
      <c r="A583" s="1"/>
      <c r="B583" s="1"/>
      <c r="C583" s="1"/>
      <c r="D583" s="2"/>
      <c r="E583" s="1"/>
    </row>
    <row r="584" spans="1:5" ht="14.25" customHeight="1" x14ac:dyDescent="0.35">
      <c r="A584" s="1"/>
      <c r="B584" s="1"/>
      <c r="C584" s="1"/>
      <c r="D584" s="2"/>
      <c r="E584" s="1"/>
    </row>
    <row r="585" spans="1:5" ht="14.25" customHeight="1" x14ac:dyDescent="0.35">
      <c r="A585" s="1"/>
      <c r="B585" s="1"/>
      <c r="C585" s="1"/>
      <c r="D585" s="2"/>
      <c r="E585" s="1"/>
    </row>
    <row r="586" spans="1:5" ht="14.25" customHeight="1" x14ac:dyDescent="0.35">
      <c r="A586" s="1"/>
      <c r="B586" s="1"/>
      <c r="C586" s="1"/>
      <c r="D586" s="2"/>
      <c r="E586" s="1"/>
    </row>
    <row r="587" spans="1:5" ht="14.25" customHeight="1" x14ac:dyDescent="0.35">
      <c r="A587" s="1"/>
      <c r="B587" s="1"/>
      <c r="C587" s="1"/>
      <c r="D587" s="2"/>
      <c r="E587" s="1"/>
    </row>
    <row r="588" spans="1:5" ht="14.25" customHeight="1" x14ac:dyDescent="0.35">
      <c r="A588" s="1"/>
      <c r="B588" s="1"/>
      <c r="C588" s="1"/>
      <c r="D588" s="2"/>
      <c r="E588" s="1"/>
    </row>
    <row r="589" spans="1:5" ht="14.25" customHeight="1" x14ac:dyDescent="0.35">
      <c r="A589" s="1"/>
      <c r="B589" s="1"/>
      <c r="C589" s="1"/>
      <c r="D589" s="2"/>
      <c r="E589" s="1"/>
    </row>
    <row r="590" spans="1:5" ht="14.25" customHeight="1" x14ac:dyDescent="0.35">
      <c r="A590" s="1"/>
      <c r="B590" s="1"/>
      <c r="C590" s="1"/>
      <c r="D590" s="2"/>
      <c r="E590" s="1"/>
    </row>
    <row r="591" spans="1:5" ht="14.25" customHeight="1" x14ac:dyDescent="0.35">
      <c r="A591" s="1"/>
      <c r="B591" s="1"/>
      <c r="C591" s="1"/>
      <c r="D591" s="2"/>
      <c r="E591" s="1"/>
    </row>
    <row r="592" spans="1:5" ht="14.25" customHeight="1" x14ac:dyDescent="0.35">
      <c r="A592" s="1"/>
      <c r="B592" s="1"/>
      <c r="C592" s="1"/>
      <c r="D592" s="2"/>
      <c r="E592" s="1"/>
    </row>
    <row r="593" spans="1:5" ht="14.25" customHeight="1" x14ac:dyDescent="0.35">
      <c r="A593" s="1"/>
      <c r="B593" s="1"/>
      <c r="C593" s="1"/>
      <c r="D593" s="2"/>
      <c r="E593" s="1"/>
    </row>
    <row r="594" spans="1:5" ht="14.25" customHeight="1" x14ac:dyDescent="0.35">
      <c r="A594" s="1"/>
      <c r="B594" s="1"/>
      <c r="C594" s="1"/>
      <c r="D594" s="2"/>
      <c r="E594" s="1"/>
    </row>
    <row r="595" spans="1:5" ht="14.25" customHeight="1" x14ac:dyDescent="0.35">
      <c r="A595" s="1"/>
      <c r="B595" s="1"/>
      <c r="C595" s="1"/>
      <c r="D595" s="2"/>
      <c r="E595" s="1"/>
    </row>
    <row r="596" spans="1:5" ht="14.25" customHeight="1" x14ac:dyDescent="0.35">
      <c r="A596" s="1"/>
      <c r="B596" s="1"/>
      <c r="C596" s="1"/>
      <c r="D596" s="2"/>
      <c r="E596" s="1"/>
    </row>
    <row r="597" spans="1:5" ht="14.25" customHeight="1" x14ac:dyDescent="0.35">
      <c r="A597" s="1"/>
      <c r="B597" s="1"/>
      <c r="C597" s="1"/>
      <c r="D597" s="2"/>
      <c r="E597" s="1"/>
    </row>
    <row r="598" spans="1:5" ht="14.25" customHeight="1" x14ac:dyDescent="0.35">
      <c r="A598" s="1"/>
      <c r="B598" s="1"/>
      <c r="C598" s="1"/>
      <c r="D598" s="2"/>
      <c r="E598" s="1"/>
    </row>
    <row r="599" spans="1:5" ht="14.25" customHeight="1" x14ac:dyDescent="0.35">
      <c r="A599" s="1"/>
      <c r="B599" s="1"/>
      <c r="C599" s="1"/>
      <c r="D599" s="2"/>
      <c r="E599" s="1"/>
    </row>
    <row r="600" spans="1:5" ht="14.25" customHeight="1" x14ac:dyDescent="0.35">
      <c r="A600" s="1"/>
      <c r="B600" s="1"/>
      <c r="C600" s="1"/>
      <c r="D600" s="2"/>
      <c r="E600" s="1"/>
    </row>
    <row r="601" spans="1:5" ht="14.25" customHeight="1" x14ac:dyDescent="0.35">
      <c r="A601" s="1"/>
      <c r="B601" s="1"/>
      <c r="C601" s="1"/>
      <c r="D601" s="2"/>
      <c r="E601" s="1"/>
    </row>
    <row r="602" spans="1:5" ht="14.25" customHeight="1" x14ac:dyDescent="0.35">
      <c r="A602" s="1"/>
      <c r="B602" s="1"/>
      <c r="C602" s="1"/>
      <c r="D602" s="2"/>
      <c r="E602" s="1"/>
    </row>
    <row r="603" spans="1:5" ht="14.25" customHeight="1" x14ac:dyDescent="0.35">
      <c r="A603" s="1"/>
      <c r="B603" s="1"/>
      <c r="C603" s="1"/>
      <c r="D603" s="2"/>
      <c r="E603" s="1"/>
    </row>
    <row r="604" spans="1:5" ht="14.25" customHeight="1" x14ac:dyDescent="0.35">
      <c r="A604" s="1"/>
      <c r="B604" s="1"/>
      <c r="C604" s="1"/>
      <c r="D604" s="2"/>
      <c r="E604" s="1"/>
    </row>
    <row r="605" spans="1:5" ht="14.25" customHeight="1" x14ac:dyDescent="0.35">
      <c r="A605" s="1"/>
      <c r="B605" s="1"/>
      <c r="C605" s="1"/>
      <c r="D605" s="2"/>
      <c r="E605" s="1"/>
    </row>
    <row r="606" spans="1:5" ht="14.25" customHeight="1" x14ac:dyDescent="0.35">
      <c r="A606" s="1"/>
      <c r="B606" s="1"/>
      <c r="C606" s="1"/>
      <c r="D606" s="2"/>
      <c r="E606" s="1"/>
    </row>
    <row r="607" spans="1:5" ht="14.25" customHeight="1" x14ac:dyDescent="0.35">
      <c r="A607" s="1"/>
      <c r="B607" s="1"/>
      <c r="C607" s="1"/>
      <c r="D607" s="2"/>
      <c r="E607" s="1"/>
    </row>
    <row r="608" spans="1:5" ht="14.25" customHeight="1" x14ac:dyDescent="0.35">
      <c r="A608" s="1"/>
      <c r="B608" s="1"/>
      <c r="C608" s="1"/>
      <c r="D608" s="2"/>
      <c r="E608" s="1"/>
    </row>
    <row r="609" spans="1:5" ht="14.25" customHeight="1" x14ac:dyDescent="0.35">
      <c r="A609" s="1"/>
      <c r="B609" s="1"/>
      <c r="C609" s="1"/>
      <c r="D609" s="2"/>
      <c r="E609" s="1"/>
    </row>
    <row r="610" spans="1:5" ht="14.25" customHeight="1" x14ac:dyDescent="0.35">
      <c r="A610" s="1"/>
      <c r="B610" s="1"/>
      <c r="C610" s="1"/>
      <c r="D610" s="2"/>
      <c r="E610" s="1"/>
    </row>
    <row r="611" spans="1:5" ht="14.25" customHeight="1" x14ac:dyDescent="0.35">
      <c r="A611" s="1"/>
      <c r="B611" s="1"/>
      <c r="C611" s="1"/>
      <c r="D611" s="2"/>
      <c r="E611" s="1"/>
    </row>
    <row r="612" spans="1:5" ht="14.25" customHeight="1" x14ac:dyDescent="0.35">
      <c r="A612" s="1"/>
      <c r="B612" s="1"/>
      <c r="C612" s="1"/>
      <c r="D612" s="2"/>
      <c r="E612" s="1"/>
    </row>
    <row r="613" spans="1:5" ht="14.25" customHeight="1" x14ac:dyDescent="0.35">
      <c r="A613" s="1"/>
      <c r="B613" s="1"/>
      <c r="C613" s="1"/>
      <c r="D613" s="2"/>
      <c r="E613" s="1"/>
    </row>
    <row r="614" spans="1:5" ht="14.25" customHeight="1" x14ac:dyDescent="0.35">
      <c r="A614" s="1"/>
      <c r="B614" s="1"/>
      <c r="C614" s="1"/>
      <c r="D614" s="2"/>
      <c r="E614" s="1"/>
    </row>
    <row r="615" spans="1:5" ht="14.25" customHeight="1" x14ac:dyDescent="0.35">
      <c r="A615" s="1"/>
      <c r="B615" s="1"/>
      <c r="C615" s="1"/>
      <c r="D615" s="2"/>
      <c r="E615" s="1"/>
    </row>
    <row r="616" spans="1:5" ht="14.25" customHeight="1" x14ac:dyDescent="0.35">
      <c r="A616" s="1"/>
      <c r="B616" s="1"/>
      <c r="C616" s="1"/>
      <c r="D616" s="2"/>
      <c r="E616" s="1"/>
    </row>
    <row r="617" spans="1:5" ht="14.25" customHeight="1" x14ac:dyDescent="0.35">
      <c r="A617" s="1"/>
      <c r="B617" s="1"/>
      <c r="C617" s="1"/>
      <c r="D617" s="2"/>
      <c r="E617" s="1"/>
    </row>
    <row r="618" spans="1:5" ht="14.25" customHeight="1" x14ac:dyDescent="0.35">
      <c r="A618" s="1"/>
      <c r="B618" s="1"/>
      <c r="C618" s="1"/>
      <c r="D618" s="2"/>
      <c r="E618" s="1"/>
    </row>
    <row r="619" spans="1:5" ht="14.25" customHeight="1" x14ac:dyDescent="0.35">
      <c r="A619" s="1"/>
      <c r="B619" s="1"/>
      <c r="C619" s="1"/>
      <c r="D619" s="2"/>
      <c r="E619" s="1"/>
    </row>
    <row r="620" spans="1:5" ht="14.25" customHeight="1" x14ac:dyDescent="0.35">
      <c r="A620" s="1"/>
      <c r="B620" s="1"/>
      <c r="C620" s="1"/>
      <c r="D620" s="2"/>
      <c r="E620" s="1"/>
    </row>
    <row r="621" spans="1:5" ht="14.25" customHeight="1" x14ac:dyDescent="0.35">
      <c r="A621" s="1"/>
      <c r="B621" s="1"/>
      <c r="C621" s="1"/>
      <c r="D621" s="2"/>
      <c r="E621" s="1"/>
    </row>
    <row r="622" spans="1:5" ht="14.25" customHeight="1" x14ac:dyDescent="0.35">
      <c r="A622" s="1"/>
      <c r="B622" s="1"/>
      <c r="C622" s="1"/>
      <c r="D622" s="2"/>
      <c r="E622" s="1"/>
    </row>
    <row r="623" spans="1:5" ht="14.25" customHeight="1" x14ac:dyDescent="0.35">
      <c r="A623" s="1"/>
      <c r="B623" s="1"/>
      <c r="C623" s="1"/>
      <c r="D623" s="2"/>
      <c r="E623" s="1"/>
    </row>
    <row r="624" spans="1:5" ht="14.25" customHeight="1" x14ac:dyDescent="0.35">
      <c r="A624" s="1"/>
      <c r="B624" s="1"/>
      <c r="C624" s="1"/>
      <c r="D624" s="2"/>
      <c r="E624" s="1"/>
    </row>
    <row r="625" spans="1:5" ht="14.25" customHeight="1" x14ac:dyDescent="0.35">
      <c r="A625" s="1"/>
      <c r="B625" s="1"/>
      <c r="C625" s="1"/>
      <c r="D625" s="2"/>
      <c r="E625" s="1"/>
    </row>
    <row r="626" spans="1:5" ht="14.25" customHeight="1" x14ac:dyDescent="0.35">
      <c r="A626" s="1"/>
      <c r="B626" s="1"/>
      <c r="C626" s="1"/>
      <c r="D626" s="2"/>
      <c r="E626" s="1"/>
    </row>
    <row r="627" spans="1:5" ht="14.25" customHeight="1" x14ac:dyDescent="0.35">
      <c r="A627" s="1"/>
      <c r="B627" s="1"/>
      <c r="C627" s="1"/>
      <c r="D627" s="2"/>
      <c r="E627" s="1"/>
    </row>
    <row r="628" spans="1:5" ht="14.25" customHeight="1" x14ac:dyDescent="0.35">
      <c r="A628" s="1"/>
      <c r="B628" s="1"/>
      <c r="C628" s="1"/>
      <c r="D628" s="2"/>
      <c r="E628" s="1"/>
    </row>
    <row r="629" spans="1:5" ht="14.25" customHeight="1" x14ac:dyDescent="0.35">
      <c r="A629" s="1"/>
      <c r="B629" s="1"/>
      <c r="C629" s="1"/>
      <c r="D629" s="2"/>
      <c r="E629" s="1"/>
    </row>
    <row r="630" spans="1:5" ht="14.25" customHeight="1" x14ac:dyDescent="0.35">
      <c r="A630" s="1"/>
      <c r="B630" s="1"/>
      <c r="C630" s="1"/>
      <c r="D630" s="2"/>
      <c r="E630" s="1"/>
    </row>
    <row r="631" spans="1:5" ht="14.25" customHeight="1" x14ac:dyDescent="0.35">
      <c r="A631" s="1"/>
      <c r="B631" s="1"/>
      <c r="C631" s="1"/>
      <c r="D631" s="2"/>
      <c r="E631" s="1"/>
    </row>
    <row r="632" spans="1:5" ht="14.25" customHeight="1" x14ac:dyDescent="0.35">
      <c r="A632" s="1"/>
      <c r="B632" s="1"/>
      <c r="C632" s="1"/>
      <c r="D632" s="2"/>
      <c r="E632" s="1"/>
    </row>
    <row r="633" spans="1:5" ht="14.25" customHeight="1" x14ac:dyDescent="0.35">
      <c r="A633" s="1"/>
      <c r="B633" s="1"/>
      <c r="C633" s="1"/>
      <c r="D633" s="2"/>
      <c r="E633" s="1"/>
    </row>
    <row r="634" spans="1:5" ht="14.25" customHeight="1" x14ac:dyDescent="0.35">
      <c r="A634" s="1"/>
      <c r="B634" s="1"/>
      <c r="C634" s="1"/>
      <c r="D634" s="2"/>
      <c r="E634" s="1"/>
    </row>
    <row r="635" spans="1:5" ht="14.25" customHeight="1" x14ac:dyDescent="0.35">
      <c r="A635" s="1"/>
      <c r="B635" s="1"/>
      <c r="C635" s="1"/>
      <c r="D635" s="2"/>
      <c r="E635" s="1"/>
    </row>
    <row r="636" spans="1:5" ht="14.25" customHeight="1" x14ac:dyDescent="0.35">
      <c r="A636" s="1"/>
      <c r="B636" s="1"/>
      <c r="C636" s="1"/>
      <c r="D636" s="2"/>
      <c r="E636" s="1"/>
    </row>
    <row r="637" spans="1:5" ht="14.25" customHeight="1" x14ac:dyDescent="0.35">
      <c r="A637" s="1"/>
      <c r="B637" s="1"/>
      <c r="C637" s="1"/>
      <c r="D637" s="2"/>
      <c r="E637" s="1"/>
    </row>
    <row r="638" spans="1:5" ht="14.25" customHeight="1" x14ac:dyDescent="0.35">
      <c r="A638" s="1"/>
      <c r="B638" s="1"/>
      <c r="C638" s="1"/>
      <c r="D638" s="2"/>
      <c r="E638" s="1"/>
    </row>
    <row r="639" spans="1:5" ht="14.25" customHeight="1" x14ac:dyDescent="0.35">
      <c r="A639" s="1"/>
      <c r="B639" s="1"/>
      <c r="C639" s="1"/>
      <c r="D639" s="2"/>
      <c r="E639" s="1"/>
    </row>
    <row r="640" spans="1:5" ht="14.25" customHeight="1" x14ac:dyDescent="0.35">
      <c r="A640" s="1"/>
      <c r="B640" s="1"/>
      <c r="C640" s="1"/>
      <c r="D640" s="2"/>
      <c r="E640" s="1"/>
    </row>
    <row r="641" spans="1:5" ht="14.25" customHeight="1" x14ac:dyDescent="0.35">
      <c r="A641" s="1"/>
      <c r="B641" s="1"/>
      <c r="C641" s="1"/>
      <c r="D641" s="2"/>
      <c r="E641" s="1"/>
    </row>
    <row r="642" spans="1:5" ht="14.25" customHeight="1" x14ac:dyDescent="0.35">
      <c r="A642" s="1"/>
      <c r="B642" s="1"/>
      <c r="C642" s="1"/>
      <c r="D642" s="2"/>
      <c r="E642" s="1"/>
    </row>
    <row r="643" spans="1:5" ht="14.25" customHeight="1" x14ac:dyDescent="0.35">
      <c r="A643" s="1"/>
      <c r="B643" s="1"/>
      <c r="C643" s="1"/>
      <c r="D643" s="2"/>
      <c r="E643" s="1"/>
    </row>
    <row r="644" spans="1:5" ht="14.25" customHeight="1" x14ac:dyDescent="0.35">
      <c r="A644" s="1"/>
      <c r="B644" s="1"/>
      <c r="C644" s="1"/>
      <c r="D644" s="2"/>
      <c r="E644" s="1"/>
    </row>
    <row r="645" spans="1:5" ht="14.25" customHeight="1" x14ac:dyDescent="0.35">
      <c r="A645" s="1"/>
      <c r="B645" s="1"/>
      <c r="C645" s="1"/>
      <c r="D645" s="2"/>
      <c r="E645" s="1"/>
    </row>
    <row r="646" spans="1:5" ht="14.25" customHeight="1" x14ac:dyDescent="0.35">
      <c r="A646" s="1"/>
      <c r="B646" s="1"/>
      <c r="C646" s="1"/>
      <c r="D646" s="2"/>
      <c r="E646" s="1"/>
    </row>
    <row r="647" spans="1:5" ht="14.25" customHeight="1" x14ac:dyDescent="0.35">
      <c r="A647" s="1"/>
      <c r="B647" s="1"/>
      <c r="C647" s="1"/>
      <c r="D647" s="2"/>
      <c r="E647" s="1"/>
    </row>
    <row r="648" spans="1:5" ht="14.25" customHeight="1" x14ac:dyDescent="0.35">
      <c r="A648" s="1"/>
      <c r="B648" s="1"/>
      <c r="C648" s="1"/>
      <c r="D648" s="2"/>
      <c r="E648" s="1"/>
    </row>
    <row r="649" spans="1:5" ht="14.25" customHeight="1" x14ac:dyDescent="0.35">
      <c r="A649" s="1"/>
      <c r="B649" s="1"/>
      <c r="C649" s="1"/>
      <c r="D649" s="2"/>
      <c r="E649" s="1"/>
    </row>
    <row r="650" spans="1:5" ht="14.25" customHeight="1" x14ac:dyDescent="0.35">
      <c r="A650" s="1"/>
      <c r="B650" s="1"/>
      <c r="C650" s="1"/>
      <c r="D650" s="2"/>
      <c r="E650" s="1"/>
    </row>
    <row r="651" spans="1:5" ht="14.25" customHeight="1" x14ac:dyDescent="0.35">
      <c r="A651" s="1"/>
      <c r="B651" s="1"/>
      <c r="C651" s="1"/>
      <c r="D651" s="2"/>
      <c r="E651" s="1"/>
    </row>
    <row r="652" spans="1:5" ht="14.25" customHeight="1" x14ac:dyDescent="0.35">
      <c r="A652" s="1"/>
      <c r="B652" s="1"/>
      <c r="C652" s="1"/>
      <c r="D652" s="2"/>
      <c r="E652" s="1"/>
    </row>
    <row r="653" spans="1:5" ht="14.25" customHeight="1" x14ac:dyDescent="0.35">
      <c r="A653" s="1"/>
      <c r="B653" s="1"/>
      <c r="C653" s="1"/>
      <c r="D653" s="2"/>
      <c r="E653" s="1"/>
    </row>
    <row r="654" spans="1:5" ht="14.25" customHeight="1" x14ac:dyDescent="0.35">
      <c r="A654" s="1"/>
      <c r="B654" s="1"/>
      <c r="C654" s="1"/>
      <c r="D654" s="2"/>
      <c r="E654" s="1"/>
    </row>
    <row r="655" spans="1:5" ht="14.25" customHeight="1" x14ac:dyDescent="0.35">
      <c r="A655" s="1"/>
      <c r="B655" s="1"/>
      <c r="C655" s="1"/>
      <c r="D655" s="2"/>
      <c r="E655" s="1"/>
    </row>
    <row r="656" spans="1:5" ht="14.25" customHeight="1" x14ac:dyDescent="0.35">
      <c r="A656" s="1"/>
      <c r="B656" s="1"/>
      <c r="C656" s="1"/>
      <c r="D656" s="2"/>
      <c r="E656" s="1"/>
    </row>
    <row r="657" spans="1:5" ht="14.25" customHeight="1" x14ac:dyDescent="0.35">
      <c r="A657" s="1"/>
      <c r="B657" s="1"/>
      <c r="C657" s="1"/>
      <c r="D657" s="2"/>
      <c r="E657" s="1"/>
    </row>
    <row r="658" spans="1:5" ht="14.25" customHeight="1" x14ac:dyDescent="0.35">
      <c r="A658" s="1"/>
      <c r="B658" s="1"/>
      <c r="C658" s="1"/>
      <c r="D658" s="2"/>
      <c r="E658" s="1"/>
    </row>
    <row r="659" spans="1:5" ht="14.25" customHeight="1" x14ac:dyDescent="0.35">
      <c r="A659" s="1"/>
      <c r="B659" s="1"/>
      <c r="C659" s="1"/>
      <c r="D659" s="2"/>
      <c r="E659" s="1"/>
    </row>
    <row r="660" spans="1:5" ht="14.25" customHeight="1" x14ac:dyDescent="0.35">
      <c r="A660" s="1"/>
      <c r="B660" s="1"/>
      <c r="C660" s="1"/>
      <c r="D660" s="2"/>
      <c r="E660" s="1"/>
    </row>
    <row r="661" spans="1:5" ht="14.25" customHeight="1" x14ac:dyDescent="0.35">
      <c r="A661" s="1"/>
      <c r="B661" s="1"/>
      <c r="C661" s="1"/>
      <c r="D661" s="2"/>
      <c r="E661" s="1"/>
    </row>
    <row r="662" spans="1:5" ht="14.25" customHeight="1" x14ac:dyDescent="0.35">
      <c r="A662" s="1"/>
      <c r="B662" s="1"/>
      <c r="C662" s="1"/>
      <c r="D662" s="2"/>
      <c r="E662" s="1"/>
    </row>
    <row r="663" spans="1:5" ht="14.25" customHeight="1" x14ac:dyDescent="0.35">
      <c r="A663" s="1"/>
      <c r="B663" s="1"/>
      <c r="C663" s="1"/>
      <c r="D663" s="2"/>
      <c r="E663" s="1"/>
    </row>
    <row r="664" spans="1:5" ht="14.25" customHeight="1" x14ac:dyDescent="0.35">
      <c r="A664" s="1"/>
      <c r="B664" s="1"/>
      <c r="C664" s="1"/>
      <c r="D664" s="2"/>
      <c r="E664" s="1"/>
    </row>
    <row r="665" spans="1:5" ht="14.25" customHeight="1" x14ac:dyDescent="0.35">
      <c r="A665" s="1"/>
      <c r="B665" s="1"/>
      <c r="C665" s="1"/>
      <c r="D665" s="2"/>
      <c r="E665" s="1"/>
    </row>
    <row r="666" spans="1:5" ht="14.25" customHeight="1" x14ac:dyDescent="0.35">
      <c r="A666" s="1"/>
      <c r="B666" s="1"/>
      <c r="C666" s="1"/>
      <c r="D666" s="2"/>
      <c r="E666" s="1"/>
    </row>
    <row r="667" spans="1:5" ht="14.25" customHeight="1" x14ac:dyDescent="0.35">
      <c r="A667" s="1"/>
      <c r="B667" s="1"/>
      <c r="C667" s="1"/>
      <c r="D667" s="2"/>
      <c r="E667" s="1"/>
    </row>
    <row r="668" spans="1:5" ht="14.25" customHeight="1" x14ac:dyDescent="0.35">
      <c r="A668" s="1"/>
      <c r="B668" s="1"/>
      <c r="C668" s="1"/>
      <c r="D668" s="2"/>
      <c r="E668" s="1"/>
    </row>
    <row r="669" spans="1:5" ht="14.25" customHeight="1" x14ac:dyDescent="0.35">
      <c r="A669" s="1"/>
      <c r="B669" s="1"/>
      <c r="C669" s="1"/>
      <c r="D669" s="2"/>
      <c r="E669" s="1"/>
    </row>
    <row r="670" spans="1:5" ht="14.25" customHeight="1" x14ac:dyDescent="0.35">
      <c r="A670" s="1"/>
      <c r="B670" s="1"/>
      <c r="C670" s="1"/>
      <c r="D670" s="2"/>
      <c r="E670" s="1"/>
    </row>
    <row r="671" spans="1:5" ht="14.25" customHeight="1" x14ac:dyDescent="0.35">
      <c r="A671" s="1"/>
      <c r="B671" s="1"/>
      <c r="C671" s="1"/>
      <c r="D671" s="2"/>
      <c r="E671" s="1"/>
    </row>
    <row r="672" spans="1:5" ht="14.25" customHeight="1" x14ac:dyDescent="0.35">
      <c r="A672" s="1"/>
      <c r="B672" s="1"/>
      <c r="C672" s="1"/>
      <c r="D672" s="2"/>
      <c r="E672" s="1"/>
    </row>
    <row r="673" spans="1:5" ht="14.25" customHeight="1" x14ac:dyDescent="0.35">
      <c r="A673" s="1"/>
      <c r="B673" s="1"/>
      <c r="C673" s="1"/>
      <c r="D673" s="2"/>
      <c r="E673" s="1"/>
    </row>
    <row r="674" spans="1:5" ht="14.25" customHeight="1" x14ac:dyDescent="0.35">
      <c r="A674" s="1"/>
      <c r="B674" s="1"/>
      <c r="C674" s="1"/>
      <c r="D674" s="2"/>
      <c r="E674" s="1"/>
    </row>
    <row r="675" spans="1:5" ht="14.25" customHeight="1" x14ac:dyDescent="0.35">
      <c r="A675" s="1"/>
      <c r="B675" s="1"/>
      <c r="C675" s="1"/>
      <c r="D675" s="2"/>
      <c r="E675" s="1"/>
    </row>
    <row r="676" spans="1:5" ht="14.25" customHeight="1" x14ac:dyDescent="0.35">
      <c r="A676" s="1"/>
      <c r="B676" s="1"/>
      <c r="C676" s="1"/>
      <c r="D676" s="2"/>
      <c r="E676" s="1"/>
    </row>
    <row r="677" spans="1:5" ht="14.25" customHeight="1" x14ac:dyDescent="0.35">
      <c r="A677" s="1"/>
      <c r="B677" s="1"/>
      <c r="C677" s="1"/>
      <c r="D677" s="2"/>
      <c r="E677" s="1"/>
    </row>
    <row r="678" spans="1:5" ht="14.25" customHeight="1" x14ac:dyDescent="0.35">
      <c r="A678" s="1"/>
      <c r="B678" s="1"/>
      <c r="C678" s="1"/>
      <c r="D678" s="2"/>
      <c r="E678" s="1"/>
    </row>
    <row r="679" spans="1:5" ht="14.25" customHeight="1" x14ac:dyDescent="0.35">
      <c r="A679" s="1"/>
      <c r="B679" s="1"/>
      <c r="C679" s="1"/>
      <c r="D679" s="2"/>
      <c r="E679" s="1"/>
    </row>
    <row r="680" spans="1:5" ht="14.25" customHeight="1" x14ac:dyDescent="0.35">
      <c r="A680" s="1"/>
      <c r="B680" s="1"/>
      <c r="C680" s="1"/>
      <c r="D680" s="2"/>
      <c r="E680" s="1"/>
    </row>
    <row r="681" spans="1:5" ht="14.25" customHeight="1" x14ac:dyDescent="0.35">
      <c r="A681" s="1"/>
      <c r="B681" s="1"/>
      <c r="C681" s="1"/>
      <c r="D681" s="2"/>
      <c r="E681" s="1"/>
    </row>
    <row r="682" spans="1:5" ht="14.25" customHeight="1" x14ac:dyDescent="0.35">
      <c r="A682" s="1"/>
      <c r="B682" s="1"/>
      <c r="C682" s="1"/>
      <c r="D682" s="2"/>
      <c r="E682" s="1"/>
    </row>
    <row r="683" spans="1:5" ht="14.25" customHeight="1" x14ac:dyDescent="0.35">
      <c r="A683" s="1"/>
      <c r="B683" s="1"/>
      <c r="C683" s="1"/>
      <c r="D683" s="2"/>
      <c r="E683" s="1"/>
    </row>
    <row r="684" spans="1:5" ht="14.25" customHeight="1" x14ac:dyDescent="0.35">
      <c r="A684" s="1"/>
      <c r="B684" s="1"/>
      <c r="C684" s="1"/>
      <c r="D684" s="2"/>
      <c r="E684" s="1"/>
    </row>
    <row r="685" spans="1:5" ht="14.25" customHeight="1" x14ac:dyDescent="0.35">
      <c r="A685" s="1"/>
      <c r="B685" s="1"/>
      <c r="C685" s="1"/>
      <c r="D685" s="2"/>
      <c r="E685" s="1"/>
    </row>
    <row r="686" spans="1:5" ht="14.25" customHeight="1" x14ac:dyDescent="0.35">
      <c r="A686" s="1"/>
      <c r="B686" s="1"/>
      <c r="C686" s="1"/>
      <c r="D686" s="2"/>
      <c r="E686" s="1"/>
    </row>
    <row r="687" spans="1:5" ht="14.25" customHeight="1" x14ac:dyDescent="0.35">
      <c r="A687" s="1"/>
      <c r="B687" s="1"/>
      <c r="C687" s="1"/>
      <c r="D687" s="2"/>
      <c r="E687" s="1"/>
    </row>
    <row r="688" spans="1:5" ht="14.25" customHeight="1" x14ac:dyDescent="0.35">
      <c r="A688" s="1"/>
      <c r="B688" s="1"/>
      <c r="C688" s="1"/>
      <c r="D688" s="2"/>
      <c r="E688" s="1"/>
    </row>
    <row r="689" spans="1:5" ht="14.25" customHeight="1" x14ac:dyDescent="0.35">
      <c r="A689" s="1"/>
      <c r="B689" s="1"/>
      <c r="C689" s="1"/>
      <c r="D689" s="2"/>
      <c r="E689" s="1"/>
    </row>
    <row r="690" spans="1:5" ht="14.25" customHeight="1" x14ac:dyDescent="0.35">
      <c r="A690" s="1"/>
      <c r="B690" s="1"/>
      <c r="C690" s="1"/>
      <c r="D690" s="2"/>
      <c r="E690" s="1"/>
    </row>
    <row r="691" spans="1:5" ht="14.25" customHeight="1" x14ac:dyDescent="0.35">
      <c r="A691" s="1"/>
      <c r="B691" s="1"/>
      <c r="C691" s="1"/>
      <c r="D691" s="2"/>
      <c r="E691" s="1"/>
    </row>
    <row r="692" spans="1:5" ht="14.25" customHeight="1" x14ac:dyDescent="0.35">
      <c r="A692" s="1"/>
      <c r="B692" s="1"/>
      <c r="C692" s="1"/>
      <c r="D692" s="2"/>
      <c r="E692" s="1"/>
    </row>
    <row r="693" spans="1:5" ht="14.25" customHeight="1" x14ac:dyDescent="0.35">
      <c r="A693" s="1"/>
      <c r="B693" s="1"/>
      <c r="C693" s="1"/>
      <c r="D693" s="2"/>
      <c r="E693" s="1"/>
    </row>
    <row r="694" spans="1:5" ht="14.25" customHeight="1" x14ac:dyDescent="0.35">
      <c r="A694" s="1"/>
      <c r="B694" s="1"/>
      <c r="C694" s="1"/>
      <c r="D694" s="2"/>
      <c r="E694" s="1"/>
    </row>
    <row r="695" spans="1:5" ht="14.25" customHeight="1" x14ac:dyDescent="0.35">
      <c r="A695" s="1"/>
      <c r="B695" s="1"/>
      <c r="C695" s="1"/>
      <c r="D695" s="2"/>
      <c r="E695" s="1"/>
    </row>
    <row r="696" spans="1:5" ht="14.25" customHeight="1" x14ac:dyDescent="0.35">
      <c r="A696" s="1"/>
      <c r="B696" s="1"/>
      <c r="C696" s="1"/>
      <c r="D696" s="2"/>
      <c r="E696" s="1"/>
    </row>
    <row r="697" spans="1:5" ht="14.25" customHeight="1" x14ac:dyDescent="0.35">
      <c r="A697" s="1"/>
      <c r="B697" s="1"/>
      <c r="C697" s="1"/>
      <c r="D697" s="2"/>
      <c r="E697" s="1"/>
    </row>
    <row r="698" spans="1:5" ht="14.25" customHeight="1" x14ac:dyDescent="0.35">
      <c r="A698" s="1"/>
      <c r="B698" s="1"/>
      <c r="C698" s="1"/>
      <c r="D698" s="2"/>
      <c r="E698" s="1"/>
    </row>
    <row r="699" spans="1:5" ht="14.25" customHeight="1" x14ac:dyDescent="0.35">
      <c r="A699" s="1"/>
      <c r="B699" s="1"/>
      <c r="C699" s="1"/>
      <c r="D699" s="2"/>
      <c r="E699" s="1"/>
    </row>
    <row r="700" spans="1:5" ht="14.25" customHeight="1" x14ac:dyDescent="0.35">
      <c r="A700" s="1"/>
      <c r="B700" s="1"/>
      <c r="C700" s="1"/>
      <c r="D700" s="2"/>
      <c r="E700" s="1"/>
    </row>
    <row r="701" spans="1:5" ht="14.25" customHeight="1" x14ac:dyDescent="0.35">
      <c r="A701" s="1"/>
      <c r="B701" s="1"/>
      <c r="C701" s="1"/>
      <c r="D701" s="2"/>
      <c r="E701" s="1"/>
    </row>
    <row r="702" spans="1:5" ht="14.25" customHeight="1" x14ac:dyDescent="0.35">
      <c r="A702" s="1"/>
      <c r="B702" s="1"/>
      <c r="C702" s="1"/>
      <c r="D702" s="2"/>
      <c r="E702" s="1"/>
    </row>
    <row r="703" spans="1:5" ht="14.25" customHeight="1" x14ac:dyDescent="0.35">
      <c r="A703" s="1"/>
      <c r="B703" s="1"/>
      <c r="C703" s="1"/>
      <c r="D703" s="2"/>
      <c r="E703" s="1"/>
    </row>
    <row r="704" spans="1:5" ht="14.25" customHeight="1" x14ac:dyDescent="0.35">
      <c r="A704" s="1"/>
      <c r="B704" s="1"/>
      <c r="C704" s="1"/>
      <c r="D704" s="2"/>
      <c r="E704" s="1"/>
    </row>
    <row r="705" spans="1:5" ht="14.25" customHeight="1" x14ac:dyDescent="0.35">
      <c r="A705" s="1"/>
      <c r="B705" s="1"/>
      <c r="C705" s="1"/>
      <c r="D705" s="2"/>
      <c r="E705" s="1"/>
    </row>
    <row r="706" spans="1:5" ht="14.25" customHeight="1" x14ac:dyDescent="0.35">
      <c r="A706" s="1"/>
      <c r="B706" s="1"/>
      <c r="C706" s="1"/>
      <c r="D706" s="2"/>
      <c r="E706" s="1"/>
    </row>
    <row r="707" spans="1:5" ht="14.25" customHeight="1" x14ac:dyDescent="0.35">
      <c r="A707" s="1"/>
      <c r="B707" s="1"/>
      <c r="C707" s="1"/>
      <c r="D707" s="2"/>
      <c r="E707" s="1"/>
    </row>
    <row r="708" spans="1:5" ht="14.25" customHeight="1" x14ac:dyDescent="0.35">
      <c r="A708" s="1"/>
      <c r="B708" s="1"/>
      <c r="C708" s="1"/>
      <c r="D708" s="2"/>
      <c r="E708" s="1"/>
    </row>
    <row r="709" spans="1:5" ht="14.25" customHeight="1" x14ac:dyDescent="0.35">
      <c r="A709" s="1"/>
      <c r="B709" s="1"/>
      <c r="C709" s="1"/>
      <c r="D709" s="2"/>
      <c r="E709" s="1"/>
    </row>
    <row r="710" spans="1:5" ht="14.25" customHeight="1" x14ac:dyDescent="0.35">
      <c r="A710" s="1"/>
      <c r="B710" s="1"/>
      <c r="C710" s="1"/>
      <c r="D710" s="2"/>
      <c r="E710" s="1"/>
    </row>
    <row r="711" spans="1:5" ht="14.25" customHeight="1" x14ac:dyDescent="0.35">
      <c r="A711" s="1"/>
      <c r="B711" s="1"/>
      <c r="C711" s="1"/>
      <c r="D711" s="2"/>
      <c r="E711" s="1"/>
    </row>
    <row r="712" spans="1:5" ht="14.25" customHeight="1" x14ac:dyDescent="0.35">
      <c r="A712" s="1"/>
      <c r="B712" s="1"/>
      <c r="C712" s="1"/>
      <c r="D712" s="2"/>
      <c r="E712" s="1"/>
    </row>
    <row r="713" spans="1:5" ht="14.25" customHeight="1" x14ac:dyDescent="0.35">
      <c r="A713" s="1"/>
      <c r="B713" s="1"/>
      <c r="C713" s="1"/>
      <c r="D713" s="2"/>
      <c r="E713" s="1"/>
    </row>
    <row r="714" spans="1:5" ht="14.25" customHeight="1" x14ac:dyDescent="0.35">
      <c r="A714" s="1"/>
      <c r="B714" s="1"/>
      <c r="C714" s="1"/>
      <c r="D714" s="2"/>
      <c r="E714" s="1"/>
    </row>
    <row r="715" spans="1:5" ht="14.25" customHeight="1" x14ac:dyDescent="0.35">
      <c r="A715" s="1"/>
      <c r="B715" s="1"/>
      <c r="C715" s="1"/>
      <c r="D715" s="2"/>
      <c r="E715" s="1"/>
    </row>
    <row r="716" spans="1:5" ht="14.25" customHeight="1" x14ac:dyDescent="0.35">
      <c r="A716" s="1"/>
      <c r="B716" s="1"/>
      <c r="C716" s="1"/>
      <c r="D716" s="2"/>
      <c r="E716" s="1"/>
    </row>
    <row r="717" spans="1:5" ht="14.25" customHeight="1" x14ac:dyDescent="0.35">
      <c r="A717" s="1"/>
      <c r="B717" s="1"/>
      <c r="C717" s="1"/>
      <c r="D717" s="2"/>
      <c r="E717" s="1"/>
    </row>
    <row r="718" spans="1:5" ht="14.25" customHeight="1" x14ac:dyDescent="0.35">
      <c r="A718" s="1"/>
      <c r="B718" s="1"/>
      <c r="C718" s="1"/>
      <c r="D718" s="2"/>
      <c r="E718" s="1"/>
    </row>
    <row r="719" spans="1:5" ht="14.25" customHeight="1" x14ac:dyDescent="0.35">
      <c r="A719" s="1"/>
      <c r="B719" s="1"/>
      <c r="C719" s="1"/>
      <c r="D719" s="2"/>
      <c r="E719" s="1"/>
    </row>
    <row r="720" spans="1:5" ht="14.25" customHeight="1" x14ac:dyDescent="0.35">
      <c r="A720" s="1"/>
      <c r="B720" s="1"/>
      <c r="C720" s="1"/>
      <c r="D720" s="2"/>
      <c r="E720" s="1"/>
    </row>
    <row r="721" spans="1:5" ht="14.25" customHeight="1" x14ac:dyDescent="0.35">
      <c r="A721" s="1"/>
      <c r="B721" s="1"/>
      <c r="C721" s="1"/>
      <c r="D721" s="2"/>
      <c r="E721" s="1"/>
    </row>
    <row r="722" spans="1:5" ht="14.25" customHeight="1" x14ac:dyDescent="0.35">
      <c r="A722" s="1"/>
      <c r="B722" s="1"/>
      <c r="C722" s="1"/>
      <c r="D722" s="2"/>
      <c r="E722" s="1"/>
    </row>
    <row r="723" spans="1:5" ht="14.25" customHeight="1" x14ac:dyDescent="0.35">
      <c r="A723" s="1"/>
      <c r="B723" s="1"/>
      <c r="C723" s="1"/>
      <c r="D723" s="2"/>
      <c r="E723" s="1"/>
    </row>
    <row r="724" spans="1:5" ht="14.25" customHeight="1" x14ac:dyDescent="0.35">
      <c r="A724" s="1"/>
      <c r="B724" s="1"/>
      <c r="C724" s="1"/>
      <c r="D724" s="2"/>
      <c r="E724" s="1"/>
    </row>
    <row r="725" spans="1:5" ht="14.25" customHeight="1" x14ac:dyDescent="0.35">
      <c r="A725" s="1"/>
      <c r="B725" s="1"/>
      <c r="C725" s="1"/>
      <c r="D725" s="2"/>
      <c r="E725" s="1"/>
    </row>
    <row r="726" spans="1:5" ht="14.25" customHeight="1" x14ac:dyDescent="0.35">
      <c r="A726" s="1"/>
      <c r="B726" s="1"/>
      <c r="C726" s="1"/>
      <c r="D726" s="2"/>
      <c r="E726" s="1"/>
    </row>
    <row r="727" spans="1:5" ht="14.25" customHeight="1" x14ac:dyDescent="0.35">
      <c r="A727" s="1"/>
      <c r="B727" s="1"/>
      <c r="C727" s="1"/>
      <c r="D727" s="2"/>
      <c r="E727" s="1"/>
    </row>
    <row r="728" spans="1:5" ht="14.25" customHeight="1" x14ac:dyDescent="0.35">
      <c r="A728" s="1"/>
      <c r="B728" s="1"/>
      <c r="C728" s="1"/>
      <c r="D728" s="2"/>
      <c r="E728" s="1"/>
    </row>
    <row r="729" spans="1:5" ht="14.25" customHeight="1" x14ac:dyDescent="0.35">
      <c r="A729" s="1"/>
      <c r="B729" s="1"/>
      <c r="C729" s="1"/>
      <c r="D729" s="2"/>
      <c r="E729" s="1"/>
    </row>
    <row r="730" spans="1:5" ht="14.25" customHeight="1" x14ac:dyDescent="0.35">
      <c r="A730" s="1"/>
      <c r="B730" s="1"/>
      <c r="C730" s="1"/>
      <c r="D730" s="2"/>
      <c r="E730" s="1"/>
    </row>
    <row r="731" spans="1:5" ht="14.25" customHeight="1" x14ac:dyDescent="0.35">
      <c r="A731" s="1"/>
      <c r="B731" s="1"/>
      <c r="C731" s="1"/>
      <c r="D731" s="2"/>
      <c r="E731" s="1"/>
    </row>
    <row r="732" spans="1:5" ht="14.25" customHeight="1" x14ac:dyDescent="0.35">
      <c r="A732" s="1"/>
      <c r="B732" s="1"/>
      <c r="C732" s="1"/>
      <c r="D732" s="2"/>
      <c r="E732" s="1"/>
    </row>
    <row r="733" spans="1:5" ht="14.25" customHeight="1" x14ac:dyDescent="0.35">
      <c r="A733" s="1"/>
      <c r="B733" s="1"/>
      <c r="C733" s="1"/>
      <c r="D733" s="2"/>
      <c r="E733" s="1"/>
    </row>
    <row r="734" spans="1:5" ht="14.25" customHeight="1" x14ac:dyDescent="0.35">
      <c r="A734" s="1"/>
      <c r="B734" s="1"/>
      <c r="C734" s="1"/>
      <c r="D734" s="2"/>
      <c r="E734" s="1"/>
    </row>
    <row r="735" spans="1:5" ht="14.25" customHeight="1" x14ac:dyDescent="0.35">
      <c r="A735" s="1"/>
      <c r="B735" s="1"/>
      <c r="C735" s="1"/>
      <c r="D735" s="2"/>
      <c r="E735" s="1"/>
    </row>
    <row r="736" spans="1:5" ht="14.25" customHeight="1" x14ac:dyDescent="0.35">
      <c r="A736" s="1"/>
      <c r="B736" s="1"/>
      <c r="C736" s="1"/>
      <c r="D736" s="2"/>
      <c r="E736" s="1"/>
    </row>
    <row r="737" spans="1:5" ht="14.25" customHeight="1" x14ac:dyDescent="0.35">
      <c r="A737" s="1"/>
      <c r="B737" s="1"/>
      <c r="C737" s="1"/>
      <c r="D737" s="2"/>
      <c r="E737" s="1"/>
    </row>
    <row r="738" spans="1:5" ht="14.25" customHeight="1" x14ac:dyDescent="0.35">
      <c r="A738" s="1"/>
      <c r="B738" s="1"/>
      <c r="C738" s="1"/>
      <c r="D738" s="2"/>
      <c r="E738" s="1"/>
    </row>
    <row r="739" spans="1:5" ht="14.25" customHeight="1" x14ac:dyDescent="0.35">
      <c r="A739" s="1"/>
      <c r="B739" s="1"/>
      <c r="C739" s="1"/>
      <c r="D739" s="2"/>
      <c r="E739" s="1"/>
    </row>
    <row r="740" spans="1:5" ht="14.25" customHeight="1" x14ac:dyDescent="0.35">
      <c r="A740" s="1"/>
      <c r="B740" s="1"/>
      <c r="C740" s="1"/>
      <c r="D740" s="2"/>
      <c r="E740" s="1"/>
    </row>
    <row r="741" spans="1:5" ht="14.25" customHeight="1" x14ac:dyDescent="0.35">
      <c r="A741" s="1"/>
      <c r="B741" s="1"/>
      <c r="C741" s="1"/>
      <c r="D741" s="2"/>
      <c r="E741" s="1"/>
    </row>
    <row r="742" spans="1:5" ht="14.25" customHeight="1" x14ac:dyDescent="0.35">
      <c r="A742" s="1"/>
      <c r="B742" s="1"/>
      <c r="C742" s="1"/>
      <c r="D742" s="2"/>
      <c r="E742" s="1"/>
    </row>
    <row r="743" spans="1:5" ht="14.25" customHeight="1" x14ac:dyDescent="0.35">
      <c r="A743" s="1"/>
      <c r="B743" s="1"/>
      <c r="C743" s="1"/>
      <c r="D743" s="2"/>
      <c r="E743" s="1"/>
    </row>
    <row r="744" spans="1:5" ht="14.25" customHeight="1" x14ac:dyDescent="0.35">
      <c r="A744" s="1"/>
      <c r="B744" s="1"/>
      <c r="C744" s="1"/>
      <c r="D744" s="2"/>
      <c r="E744" s="1"/>
    </row>
    <row r="745" spans="1:5" ht="14.25" customHeight="1" x14ac:dyDescent="0.35">
      <c r="A745" s="1"/>
      <c r="B745" s="1"/>
      <c r="C745" s="1"/>
      <c r="D745" s="2"/>
      <c r="E745" s="1"/>
    </row>
    <row r="746" spans="1:5" ht="14.25" customHeight="1" x14ac:dyDescent="0.35">
      <c r="A746" s="1"/>
      <c r="B746" s="1"/>
      <c r="C746" s="1"/>
      <c r="D746" s="2"/>
      <c r="E746" s="1"/>
    </row>
    <row r="747" spans="1:5" ht="14.25" customHeight="1" x14ac:dyDescent="0.35">
      <c r="A747" s="1"/>
      <c r="B747" s="1"/>
      <c r="C747" s="1"/>
      <c r="D747" s="2"/>
      <c r="E747" s="1"/>
    </row>
    <row r="748" spans="1:5" ht="14.25" customHeight="1" x14ac:dyDescent="0.35">
      <c r="A748" s="1"/>
      <c r="B748" s="1"/>
      <c r="C748" s="1"/>
      <c r="D748" s="2"/>
      <c r="E748" s="1"/>
    </row>
    <row r="749" spans="1:5" ht="14.25" customHeight="1" x14ac:dyDescent="0.35">
      <c r="A749" s="1"/>
      <c r="B749" s="1"/>
      <c r="C749" s="1"/>
      <c r="D749" s="2"/>
      <c r="E749" s="1"/>
    </row>
    <row r="750" spans="1:5" ht="14.25" customHeight="1" x14ac:dyDescent="0.35">
      <c r="A750" s="1"/>
      <c r="B750" s="1"/>
      <c r="C750" s="1"/>
      <c r="D750" s="2"/>
      <c r="E750" s="1"/>
    </row>
    <row r="751" spans="1:5" ht="14.25" customHeight="1" x14ac:dyDescent="0.35">
      <c r="A751" s="1"/>
      <c r="B751" s="1"/>
      <c r="C751" s="1"/>
      <c r="D751" s="2"/>
      <c r="E751" s="1"/>
    </row>
    <row r="752" spans="1:5" ht="14.25" customHeight="1" x14ac:dyDescent="0.35">
      <c r="A752" s="1"/>
      <c r="B752" s="1"/>
      <c r="C752" s="1"/>
      <c r="D752" s="2"/>
      <c r="E752" s="1"/>
    </row>
    <row r="753" spans="1:5" ht="14.25" customHeight="1" x14ac:dyDescent="0.35">
      <c r="A753" s="1"/>
      <c r="B753" s="1"/>
      <c r="C753" s="1"/>
      <c r="D753" s="2"/>
      <c r="E753" s="1"/>
    </row>
    <row r="754" spans="1:5" ht="14.25" customHeight="1" x14ac:dyDescent="0.35">
      <c r="A754" s="1"/>
      <c r="B754" s="1"/>
      <c r="C754" s="1"/>
      <c r="D754" s="2"/>
      <c r="E754" s="1"/>
    </row>
    <row r="755" spans="1:5" ht="14.25" customHeight="1" x14ac:dyDescent="0.35">
      <c r="A755" s="1"/>
      <c r="B755" s="1"/>
      <c r="C755" s="1"/>
      <c r="D755" s="2"/>
      <c r="E755" s="1"/>
    </row>
    <row r="756" spans="1:5" ht="14.25" customHeight="1" x14ac:dyDescent="0.35">
      <c r="A756" s="1"/>
      <c r="B756" s="1"/>
      <c r="C756" s="1"/>
      <c r="D756" s="2"/>
      <c r="E756" s="1"/>
    </row>
    <row r="757" spans="1:5" ht="14.25" customHeight="1" x14ac:dyDescent="0.35">
      <c r="A757" s="1"/>
      <c r="B757" s="1"/>
      <c r="C757" s="1"/>
      <c r="D757" s="2"/>
      <c r="E757" s="1"/>
    </row>
    <row r="758" spans="1:5" ht="14.25" customHeight="1" x14ac:dyDescent="0.35">
      <c r="A758" s="1"/>
      <c r="B758" s="1"/>
      <c r="C758" s="1"/>
      <c r="D758" s="2"/>
      <c r="E758" s="1"/>
    </row>
    <row r="759" spans="1:5" ht="14.25" customHeight="1" x14ac:dyDescent="0.35">
      <c r="A759" s="1"/>
      <c r="B759" s="1"/>
      <c r="C759" s="1"/>
      <c r="D759" s="2"/>
      <c r="E759" s="1"/>
    </row>
    <row r="760" spans="1:5" ht="14.25" customHeight="1" x14ac:dyDescent="0.35">
      <c r="A760" s="1"/>
      <c r="B760" s="1"/>
      <c r="C760" s="1"/>
      <c r="D760" s="2"/>
      <c r="E760" s="1"/>
    </row>
    <row r="761" spans="1:5" ht="14.25" customHeight="1" x14ac:dyDescent="0.35">
      <c r="A761" s="1"/>
      <c r="B761" s="1"/>
      <c r="C761" s="1"/>
      <c r="D761" s="2"/>
      <c r="E761" s="1"/>
    </row>
    <row r="762" spans="1:5" ht="14.25" customHeight="1" x14ac:dyDescent="0.35">
      <c r="A762" s="1"/>
      <c r="B762" s="1"/>
      <c r="C762" s="1"/>
      <c r="D762" s="2"/>
      <c r="E762" s="1"/>
    </row>
    <row r="763" spans="1:5" ht="14.25" customHeight="1" x14ac:dyDescent="0.35">
      <c r="A763" s="1"/>
      <c r="B763" s="1"/>
      <c r="C763" s="1"/>
      <c r="D763" s="2"/>
      <c r="E763" s="1"/>
    </row>
    <row r="764" spans="1:5" ht="14.25" customHeight="1" x14ac:dyDescent="0.35">
      <c r="A764" s="1"/>
      <c r="B764" s="1"/>
      <c r="C764" s="1"/>
      <c r="D764" s="2"/>
      <c r="E764" s="1"/>
    </row>
    <row r="765" spans="1:5" ht="14.25" customHeight="1" x14ac:dyDescent="0.35">
      <c r="A765" s="1"/>
      <c r="B765" s="1"/>
      <c r="C765" s="1"/>
      <c r="D765" s="2"/>
      <c r="E765" s="1"/>
    </row>
    <row r="766" spans="1:5" ht="14.25" customHeight="1" x14ac:dyDescent="0.35">
      <c r="A766" s="1"/>
      <c r="B766" s="1"/>
      <c r="C766" s="1"/>
      <c r="D766" s="2"/>
      <c r="E766" s="1"/>
    </row>
    <row r="767" spans="1:5" ht="14.25" customHeight="1" x14ac:dyDescent="0.35">
      <c r="A767" s="1"/>
      <c r="B767" s="1"/>
      <c r="C767" s="1"/>
      <c r="D767" s="2"/>
      <c r="E767" s="1"/>
    </row>
    <row r="768" spans="1:5" ht="14.25" customHeight="1" x14ac:dyDescent="0.35">
      <c r="A768" s="1"/>
      <c r="B768" s="1"/>
      <c r="C768" s="1"/>
      <c r="D768" s="2"/>
      <c r="E768" s="1"/>
    </row>
    <row r="769" spans="1:5" ht="14.25" customHeight="1" x14ac:dyDescent="0.35">
      <c r="A769" s="1"/>
      <c r="B769" s="1"/>
      <c r="C769" s="1"/>
      <c r="D769" s="2"/>
      <c r="E769" s="1"/>
    </row>
    <row r="770" spans="1:5" ht="14.25" customHeight="1" x14ac:dyDescent="0.35">
      <c r="A770" s="1"/>
      <c r="B770" s="1"/>
      <c r="C770" s="1"/>
      <c r="D770" s="2"/>
      <c r="E770" s="1"/>
    </row>
    <row r="771" spans="1:5" ht="14.25" customHeight="1" x14ac:dyDescent="0.35">
      <c r="A771" s="1"/>
      <c r="B771" s="1"/>
      <c r="C771" s="1"/>
      <c r="D771" s="2"/>
      <c r="E771" s="1"/>
    </row>
    <row r="772" spans="1:5" ht="14.25" customHeight="1" x14ac:dyDescent="0.35">
      <c r="A772" s="1"/>
      <c r="B772" s="1"/>
      <c r="C772" s="1"/>
      <c r="D772" s="2"/>
      <c r="E772" s="1"/>
    </row>
    <row r="773" spans="1:5" ht="14.25" customHeight="1" x14ac:dyDescent="0.35">
      <c r="A773" s="1"/>
      <c r="B773" s="1"/>
      <c r="C773" s="1"/>
      <c r="D773" s="2"/>
      <c r="E773" s="1"/>
    </row>
    <row r="774" spans="1:5" ht="14.25" customHeight="1" x14ac:dyDescent="0.35">
      <c r="A774" s="1"/>
      <c r="B774" s="1"/>
      <c r="C774" s="1"/>
      <c r="D774" s="2"/>
      <c r="E774" s="1"/>
    </row>
    <row r="775" spans="1:5" ht="14.25" customHeight="1" x14ac:dyDescent="0.35">
      <c r="A775" s="1"/>
      <c r="B775" s="1"/>
      <c r="C775" s="1"/>
      <c r="D775" s="2"/>
      <c r="E775" s="1"/>
    </row>
    <row r="776" spans="1:5" ht="14.25" customHeight="1" x14ac:dyDescent="0.35">
      <c r="A776" s="1"/>
      <c r="B776" s="1"/>
      <c r="C776" s="1"/>
      <c r="D776" s="2"/>
      <c r="E776" s="1"/>
    </row>
    <row r="777" spans="1:5" ht="14.25" customHeight="1" x14ac:dyDescent="0.35">
      <c r="A777" s="1"/>
      <c r="B777" s="1"/>
      <c r="C777" s="1"/>
      <c r="D777" s="2"/>
      <c r="E777" s="1"/>
    </row>
    <row r="778" spans="1:5" ht="14.25" customHeight="1" x14ac:dyDescent="0.35">
      <c r="A778" s="1"/>
      <c r="B778" s="1"/>
      <c r="C778" s="1"/>
      <c r="D778" s="2"/>
      <c r="E778" s="1"/>
    </row>
    <row r="779" spans="1:5" ht="14.25" customHeight="1" x14ac:dyDescent="0.35">
      <c r="A779" s="1"/>
      <c r="B779" s="1"/>
      <c r="C779" s="1"/>
      <c r="D779" s="2"/>
      <c r="E779" s="1"/>
    </row>
    <row r="780" spans="1:5" ht="14.25" customHeight="1" x14ac:dyDescent="0.35">
      <c r="A780" s="1"/>
      <c r="B780" s="1"/>
      <c r="C780" s="1"/>
      <c r="D780" s="2"/>
      <c r="E780" s="1"/>
    </row>
    <row r="781" spans="1:5" ht="14.25" customHeight="1" x14ac:dyDescent="0.35">
      <c r="A781" s="1"/>
      <c r="B781" s="1"/>
      <c r="C781" s="1"/>
      <c r="D781" s="2"/>
      <c r="E781" s="1"/>
    </row>
    <row r="782" spans="1:5" ht="14.25" customHeight="1" x14ac:dyDescent="0.35">
      <c r="A782" s="1"/>
      <c r="B782" s="1"/>
      <c r="C782" s="1"/>
      <c r="D782" s="2"/>
      <c r="E782" s="1"/>
    </row>
    <row r="783" spans="1:5" ht="14.25" customHeight="1" x14ac:dyDescent="0.35">
      <c r="A783" s="1"/>
      <c r="B783" s="1"/>
      <c r="C783" s="1"/>
      <c r="D783" s="2"/>
      <c r="E783" s="1"/>
    </row>
    <row r="784" spans="1:5" ht="14.25" customHeight="1" x14ac:dyDescent="0.35">
      <c r="A784" s="1"/>
      <c r="B784" s="1"/>
      <c r="C784" s="1"/>
      <c r="D784" s="2"/>
      <c r="E784" s="1"/>
    </row>
    <row r="785" spans="1:5" ht="14.25" customHeight="1" x14ac:dyDescent="0.35">
      <c r="A785" s="1"/>
      <c r="B785" s="1"/>
      <c r="C785" s="1"/>
      <c r="D785" s="2"/>
      <c r="E785" s="1"/>
    </row>
    <row r="786" spans="1:5" ht="14.25" customHeight="1" x14ac:dyDescent="0.35">
      <c r="A786" s="1"/>
      <c r="B786" s="1"/>
      <c r="C786" s="1"/>
      <c r="D786" s="2"/>
      <c r="E786" s="1"/>
    </row>
    <row r="787" spans="1:5" ht="14.25" customHeight="1" x14ac:dyDescent="0.35">
      <c r="A787" s="1"/>
      <c r="B787" s="1"/>
      <c r="C787" s="1"/>
      <c r="D787" s="2"/>
      <c r="E787" s="1"/>
    </row>
    <row r="788" spans="1:5" ht="14.25" customHeight="1" x14ac:dyDescent="0.35">
      <c r="A788" s="1"/>
      <c r="B788" s="1"/>
      <c r="C788" s="1"/>
      <c r="D788" s="2"/>
      <c r="E788" s="1"/>
    </row>
    <row r="789" spans="1:5" ht="14.25" customHeight="1" x14ac:dyDescent="0.35">
      <c r="A789" s="1"/>
      <c r="B789" s="1"/>
      <c r="C789" s="1"/>
      <c r="D789" s="2"/>
      <c r="E789" s="1"/>
    </row>
    <row r="790" spans="1:5" ht="14.25" customHeight="1" x14ac:dyDescent="0.35">
      <c r="A790" s="1"/>
      <c r="B790" s="1"/>
      <c r="C790" s="1"/>
      <c r="D790" s="2"/>
      <c r="E790" s="1"/>
    </row>
    <row r="791" spans="1:5" ht="14.25" customHeight="1" x14ac:dyDescent="0.35">
      <c r="A791" s="1"/>
      <c r="B791" s="1"/>
      <c r="C791" s="1"/>
      <c r="D791" s="2"/>
      <c r="E791" s="1"/>
    </row>
    <row r="792" spans="1:5" ht="14.25" customHeight="1" x14ac:dyDescent="0.35">
      <c r="A792" s="1"/>
      <c r="B792" s="1"/>
      <c r="C792" s="1"/>
      <c r="D792" s="2"/>
      <c r="E792" s="1"/>
    </row>
    <row r="793" spans="1:5" ht="14.25" customHeight="1" x14ac:dyDescent="0.35">
      <c r="A793" s="1"/>
      <c r="B793" s="1"/>
      <c r="C793" s="1"/>
      <c r="D793" s="2"/>
      <c r="E793" s="1"/>
    </row>
    <row r="794" spans="1:5" ht="14.25" customHeight="1" x14ac:dyDescent="0.35">
      <c r="A794" s="1"/>
      <c r="B794" s="1"/>
      <c r="C794" s="1"/>
      <c r="D794" s="2"/>
      <c r="E794" s="1"/>
    </row>
    <row r="795" spans="1:5" ht="14.25" customHeight="1" x14ac:dyDescent="0.35">
      <c r="A795" s="1"/>
      <c r="B795" s="1"/>
      <c r="C795" s="1"/>
      <c r="D795" s="2"/>
      <c r="E795" s="1"/>
    </row>
    <row r="796" spans="1:5" ht="14.25" customHeight="1" x14ac:dyDescent="0.35">
      <c r="A796" s="1"/>
      <c r="B796" s="1"/>
      <c r="C796" s="1"/>
      <c r="D796" s="2"/>
      <c r="E796" s="1"/>
    </row>
    <row r="797" spans="1:5" ht="14.25" customHeight="1" x14ac:dyDescent="0.35">
      <c r="A797" s="1"/>
      <c r="B797" s="1"/>
      <c r="C797" s="1"/>
      <c r="D797" s="2"/>
      <c r="E797" s="1"/>
    </row>
    <row r="798" spans="1:5" ht="14.25" customHeight="1" x14ac:dyDescent="0.35">
      <c r="A798" s="1"/>
      <c r="B798" s="1"/>
      <c r="C798" s="1"/>
      <c r="D798" s="2"/>
      <c r="E798" s="1"/>
    </row>
    <row r="799" spans="1:5" ht="14.25" customHeight="1" x14ac:dyDescent="0.35">
      <c r="A799" s="1"/>
      <c r="B799" s="1"/>
      <c r="C799" s="1"/>
      <c r="D799" s="2"/>
      <c r="E799" s="1"/>
    </row>
    <row r="800" spans="1:5" ht="14.25" customHeight="1" x14ac:dyDescent="0.35">
      <c r="A800" s="1"/>
      <c r="B800" s="1"/>
      <c r="C800" s="1"/>
      <c r="D800" s="2"/>
      <c r="E800" s="1"/>
    </row>
    <row r="801" spans="1:5" ht="14.25" customHeight="1" x14ac:dyDescent="0.35">
      <c r="A801" s="1"/>
      <c r="B801" s="1"/>
      <c r="C801" s="1"/>
      <c r="D801" s="2"/>
      <c r="E801" s="1"/>
    </row>
    <row r="802" spans="1:5" ht="14.25" customHeight="1" x14ac:dyDescent="0.35">
      <c r="A802" s="1"/>
      <c r="B802" s="1"/>
      <c r="C802" s="1"/>
      <c r="D802" s="2"/>
      <c r="E802" s="1"/>
    </row>
    <row r="803" spans="1:5" ht="14.25" customHeight="1" x14ac:dyDescent="0.35">
      <c r="A803" s="1"/>
      <c r="B803" s="1"/>
      <c r="C803" s="1"/>
      <c r="D803" s="2"/>
      <c r="E803" s="1"/>
    </row>
    <row r="804" spans="1:5" ht="14.25" customHeight="1" x14ac:dyDescent="0.35">
      <c r="A804" s="1"/>
      <c r="B804" s="1"/>
      <c r="C804" s="1"/>
      <c r="D804" s="2"/>
      <c r="E804" s="1"/>
    </row>
    <row r="805" spans="1:5" ht="14.25" customHeight="1" x14ac:dyDescent="0.35">
      <c r="A805" s="1"/>
      <c r="B805" s="1"/>
      <c r="C805" s="1"/>
      <c r="D805" s="2"/>
      <c r="E805" s="1"/>
    </row>
    <row r="806" spans="1:5" ht="14.25" customHeight="1" x14ac:dyDescent="0.35">
      <c r="A806" s="1"/>
      <c r="B806" s="1"/>
      <c r="C806" s="1"/>
      <c r="D806" s="2"/>
      <c r="E806" s="1"/>
    </row>
    <row r="807" spans="1:5" ht="14.25" customHeight="1" x14ac:dyDescent="0.35">
      <c r="A807" s="1"/>
      <c r="B807" s="1"/>
      <c r="C807" s="1"/>
      <c r="D807" s="2"/>
      <c r="E807" s="1"/>
    </row>
    <row r="808" spans="1:5" ht="14.25" customHeight="1" x14ac:dyDescent="0.35">
      <c r="A808" s="1"/>
      <c r="B808" s="1"/>
      <c r="C808" s="1"/>
      <c r="D808" s="2"/>
      <c r="E808" s="1"/>
    </row>
    <row r="809" spans="1:5" ht="14.25" customHeight="1" x14ac:dyDescent="0.35">
      <c r="A809" s="1"/>
      <c r="B809" s="1"/>
      <c r="C809" s="1"/>
      <c r="D809" s="2"/>
      <c r="E809" s="1"/>
    </row>
    <row r="810" spans="1:5" ht="14.25" customHeight="1" x14ac:dyDescent="0.35">
      <c r="A810" s="1"/>
      <c r="B810" s="1"/>
      <c r="C810" s="1"/>
      <c r="D810" s="2"/>
      <c r="E810" s="1"/>
    </row>
    <row r="811" spans="1:5" ht="14.25" customHeight="1" x14ac:dyDescent="0.35">
      <c r="A811" s="1"/>
      <c r="B811" s="1"/>
      <c r="C811" s="1"/>
      <c r="D811" s="2"/>
      <c r="E811" s="1"/>
    </row>
    <row r="812" spans="1:5" ht="14.25" customHeight="1" x14ac:dyDescent="0.35">
      <c r="A812" s="1"/>
      <c r="B812" s="1"/>
      <c r="C812" s="1"/>
      <c r="D812" s="2"/>
      <c r="E812" s="1"/>
    </row>
    <row r="813" spans="1:5" ht="14.25" customHeight="1" x14ac:dyDescent="0.35">
      <c r="A813" s="1"/>
      <c r="B813" s="1"/>
      <c r="C813" s="1"/>
      <c r="D813" s="2"/>
      <c r="E813" s="1"/>
    </row>
    <row r="814" spans="1:5" ht="14.25" customHeight="1" x14ac:dyDescent="0.35">
      <c r="A814" s="1"/>
      <c r="B814" s="1"/>
      <c r="C814" s="1"/>
      <c r="D814" s="2"/>
      <c r="E814" s="1"/>
    </row>
    <row r="815" spans="1:5" ht="14.25" customHeight="1" x14ac:dyDescent="0.35">
      <c r="A815" s="1"/>
      <c r="B815" s="1"/>
      <c r="C815" s="1"/>
      <c r="D815" s="2"/>
      <c r="E815" s="1"/>
    </row>
    <row r="816" spans="1:5" ht="14.25" customHeight="1" x14ac:dyDescent="0.35">
      <c r="A816" s="1"/>
      <c r="B816" s="1"/>
      <c r="C816" s="1"/>
      <c r="D816" s="2"/>
      <c r="E816" s="1"/>
    </row>
    <row r="817" spans="1:5" ht="14.25" customHeight="1" x14ac:dyDescent="0.35">
      <c r="A817" s="1"/>
      <c r="B817" s="1"/>
      <c r="C817" s="1"/>
      <c r="D817" s="2"/>
      <c r="E817" s="1"/>
    </row>
    <row r="818" spans="1:5" ht="14.25" customHeight="1" x14ac:dyDescent="0.35">
      <c r="A818" s="1"/>
      <c r="B818" s="1"/>
      <c r="C818" s="1"/>
      <c r="D818" s="2"/>
      <c r="E818" s="1"/>
    </row>
    <row r="819" spans="1:5" ht="14.25" customHeight="1" x14ac:dyDescent="0.35">
      <c r="A819" s="1"/>
      <c r="B819" s="1"/>
      <c r="C819" s="1"/>
      <c r="D819" s="2"/>
      <c r="E819" s="1"/>
    </row>
    <row r="820" spans="1:5" ht="14.25" customHeight="1" x14ac:dyDescent="0.35">
      <c r="A820" s="1"/>
      <c r="B820" s="1"/>
      <c r="C820" s="1"/>
      <c r="D820" s="2"/>
      <c r="E820" s="1"/>
    </row>
    <row r="821" spans="1:5" ht="14.25" customHeight="1" x14ac:dyDescent="0.35">
      <c r="A821" s="1"/>
      <c r="B821" s="1"/>
      <c r="C821" s="1"/>
      <c r="D821" s="2"/>
      <c r="E821" s="1"/>
    </row>
    <row r="822" spans="1:5" ht="14.25" customHeight="1" x14ac:dyDescent="0.35">
      <c r="A822" s="1"/>
      <c r="B822" s="1"/>
      <c r="C822" s="1"/>
      <c r="D822" s="2"/>
      <c r="E822" s="1"/>
    </row>
    <row r="823" spans="1:5" ht="14.25" customHeight="1" x14ac:dyDescent="0.35">
      <c r="A823" s="1"/>
      <c r="B823" s="1"/>
      <c r="C823" s="1"/>
      <c r="D823" s="2"/>
      <c r="E823" s="1"/>
    </row>
    <row r="824" spans="1:5" ht="14.25" customHeight="1" x14ac:dyDescent="0.35">
      <c r="A824" s="1"/>
      <c r="B824" s="1"/>
      <c r="C824" s="1"/>
      <c r="D824" s="2"/>
      <c r="E824" s="1"/>
    </row>
    <row r="825" spans="1:5" ht="14.25" customHeight="1" x14ac:dyDescent="0.35">
      <c r="A825" s="1"/>
      <c r="B825" s="1"/>
      <c r="C825" s="1"/>
      <c r="D825" s="2"/>
      <c r="E825" s="1"/>
    </row>
    <row r="826" spans="1:5" ht="14.25" customHeight="1" x14ac:dyDescent="0.35">
      <c r="A826" s="1"/>
      <c r="B826" s="1"/>
      <c r="C826" s="1"/>
      <c r="D826" s="2"/>
      <c r="E826" s="1"/>
    </row>
    <row r="827" spans="1:5" ht="14.25" customHeight="1" x14ac:dyDescent="0.35">
      <c r="A827" s="1"/>
      <c r="B827" s="1"/>
      <c r="C827" s="1"/>
      <c r="D827" s="2"/>
      <c r="E827" s="1"/>
    </row>
    <row r="828" spans="1:5" ht="14.25" customHeight="1" x14ac:dyDescent="0.35">
      <c r="A828" s="1"/>
      <c r="B828" s="1"/>
      <c r="C828" s="1"/>
      <c r="D828" s="2"/>
      <c r="E828" s="1"/>
    </row>
    <row r="829" spans="1:5" ht="14.25" customHeight="1" x14ac:dyDescent="0.35">
      <c r="A829" s="1"/>
      <c r="B829" s="1"/>
      <c r="C829" s="1"/>
      <c r="D829" s="2"/>
      <c r="E829" s="1"/>
    </row>
    <row r="830" spans="1:5" ht="14.25" customHeight="1" x14ac:dyDescent="0.35">
      <c r="A830" s="1"/>
      <c r="B830" s="1"/>
      <c r="C830" s="1"/>
      <c r="D830" s="2"/>
      <c r="E830" s="1"/>
    </row>
    <row r="831" spans="1:5" ht="14.25" customHeight="1" x14ac:dyDescent="0.35">
      <c r="A831" s="1"/>
      <c r="B831" s="1"/>
      <c r="C831" s="1"/>
      <c r="D831" s="2"/>
      <c r="E831" s="1"/>
    </row>
    <row r="832" spans="1:5" ht="14.25" customHeight="1" x14ac:dyDescent="0.35">
      <c r="A832" s="1"/>
      <c r="B832" s="1"/>
      <c r="C832" s="1"/>
      <c r="D832" s="2"/>
      <c r="E832" s="1"/>
    </row>
    <row r="833" spans="1:5" ht="14.25" customHeight="1" x14ac:dyDescent="0.35">
      <c r="A833" s="1"/>
      <c r="B833" s="1"/>
      <c r="C833" s="1"/>
      <c r="D833" s="2"/>
      <c r="E833" s="1"/>
    </row>
    <row r="834" spans="1:5" ht="14.25" customHeight="1" x14ac:dyDescent="0.35">
      <c r="A834" s="1"/>
      <c r="B834" s="1"/>
      <c r="C834" s="1"/>
      <c r="D834" s="2"/>
      <c r="E834" s="1"/>
    </row>
    <row r="835" spans="1:5" ht="14.25" customHeight="1" x14ac:dyDescent="0.35">
      <c r="A835" s="1"/>
      <c r="B835" s="1"/>
      <c r="C835" s="1"/>
      <c r="D835" s="2"/>
      <c r="E835" s="1"/>
    </row>
    <row r="836" spans="1:5" ht="14.25" customHeight="1" x14ac:dyDescent="0.35">
      <c r="A836" s="1"/>
      <c r="B836" s="1"/>
      <c r="C836" s="1"/>
      <c r="D836" s="2"/>
      <c r="E836" s="1"/>
    </row>
    <row r="837" spans="1:5" ht="14.25" customHeight="1" x14ac:dyDescent="0.35">
      <c r="A837" s="1"/>
      <c r="B837" s="1"/>
      <c r="C837" s="1"/>
      <c r="D837" s="2"/>
      <c r="E837" s="1"/>
    </row>
    <row r="838" spans="1:5" ht="14.25" customHeight="1" x14ac:dyDescent="0.35">
      <c r="A838" s="1"/>
      <c r="B838" s="1"/>
      <c r="C838" s="1"/>
      <c r="D838" s="2"/>
      <c r="E838" s="1"/>
    </row>
    <row r="839" spans="1:5" ht="14.25" customHeight="1" x14ac:dyDescent="0.35">
      <c r="A839" s="1"/>
      <c r="B839" s="1"/>
      <c r="C839" s="1"/>
      <c r="D839" s="2"/>
      <c r="E839" s="1"/>
    </row>
    <row r="840" spans="1:5" ht="14.25" customHeight="1" x14ac:dyDescent="0.35">
      <c r="A840" s="1"/>
      <c r="B840" s="1"/>
      <c r="C840" s="1"/>
      <c r="D840" s="2"/>
      <c r="E840" s="1"/>
    </row>
    <row r="841" spans="1:5" ht="14.25" customHeight="1" x14ac:dyDescent="0.35">
      <c r="A841" s="1"/>
      <c r="B841" s="1"/>
      <c r="C841" s="1"/>
      <c r="D841" s="2"/>
      <c r="E841" s="1"/>
    </row>
    <row r="842" spans="1:5" ht="14.25" customHeight="1" x14ac:dyDescent="0.35">
      <c r="A842" s="1"/>
      <c r="B842" s="1"/>
      <c r="C842" s="1"/>
      <c r="D842" s="2"/>
      <c r="E842" s="1"/>
    </row>
    <row r="843" spans="1:5" ht="14.25" customHeight="1" x14ac:dyDescent="0.35">
      <c r="A843" s="1"/>
      <c r="B843" s="1"/>
      <c r="C843" s="1"/>
      <c r="D843" s="2"/>
      <c r="E843" s="1"/>
    </row>
    <row r="844" spans="1:5" ht="14.25" customHeight="1" x14ac:dyDescent="0.35">
      <c r="A844" s="1"/>
      <c r="B844" s="1"/>
      <c r="C844" s="1"/>
      <c r="D844" s="2"/>
      <c r="E844" s="1"/>
    </row>
    <row r="845" spans="1:5" ht="14.25" customHeight="1" x14ac:dyDescent="0.35">
      <c r="A845" s="1"/>
      <c r="B845" s="1"/>
      <c r="C845" s="1"/>
      <c r="D845" s="2"/>
      <c r="E845" s="1"/>
    </row>
    <row r="846" spans="1:5" ht="14.25" customHeight="1" x14ac:dyDescent="0.35">
      <c r="A846" s="1"/>
      <c r="B846" s="1"/>
      <c r="C846" s="1"/>
      <c r="D846" s="2"/>
      <c r="E846" s="1"/>
    </row>
    <row r="847" spans="1:5" ht="14.25" customHeight="1" x14ac:dyDescent="0.35">
      <c r="A847" s="1"/>
      <c r="B847" s="1"/>
      <c r="C847" s="1"/>
      <c r="D847" s="2"/>
      <c r="E847" s="1"/>
    </row>
    <row r="848" spans="1:5" ht="14.25" customHeight="1" x14ac:dyDescent="0.35">
      <c r="A848" s="1"/>
      <c r="B848" s="1"/>
      <c r="C848" s="1"/>
      <c r="D848" s="2"/>
      <c r="E848" s="1"/>
    </row>
    <row r="849" spans="1:5" ht="14.25" customHeight="1" x14ac:dyDescent="0.35">
      <c r="A849" s="1"/>
      <c r="B849" s="1"/>
      <c r="C849" s="1"/>
      <c r="D849" s="2"/>
      <c r="E849" s="1"/>
    </row>
    <row r="850" spans="1:5" ht="14.25" customHeight="1" x14ac:dyDescent="0.35">
      <c r="A850" s="1"/>
      <c r="B850" s="1"/>
      <c r="C850" s="1"/>
      <c r="D850" s="2"/>
      <c r="E850" s="1"/>
    </row>
    <row r="851" spans="1:5" ht="14.25" customHeight="1" x14ac:dyDescent="0.35">
      <c r="A851" s="1"/>
      <c r="B851" s="1"/>
      <c r="C851" s="1"/>
      <c r="D851" s="2"/>
      <c r="E851" s="1"/>
    </row>
    <row r="852" spans="1:5" ht="14.25" customHeight="1" x14ac:dyDescent="0.35">
      <c r="A852" s="1"/>
      <c r="B852" s="1"/>
      <c r="C852" s="1"/>
      <c r="D852" s="2"/>
      <c r="E852" s="1"/>
    </row>
    <row r="853" spans="1:5" ht="14.25" customHeight="1" x14ac:dyDescent="0.35">
      <c r="A853" s="1"/>
      <c r="B853" s="1"/>
      <c r="C853" s="1"/>
      <c r="D853" s="2"/>
      <c r="E853" s="1"/>
    </row>
    <row r="854" spans="1:5" ht="14.25" customHeight="1" x14ac:dyDescent="0.35">
      <c r="A854" s="1"/>
      <c r="B854" s="1"/>
      <c r="C854" s="1"/>
      <c r="D854" s="2"/>
      <c r="E854" s="1"/>
    </row>
    <row r="855" spans="1:5" ht="14.25" customHeight="1" x14ac:dyDescent="0.35">
      <c r="A855" s="1"/>
      <c r="B855" s="1"/>
      <c r="C855" s="1"/>
      <c r="D855" s="2"/>
      <c r="E855" s="1"/>
    </row>
    <row r="856" spans="1:5" ht="14.25" customHeight="1" x14ac:dyDescent="0.35">
      <c r="A856" s="1"/>
      <c r="B856" s="1"/>
      <c r="C856" s="1"/>
      <c r="D856" s="2"/>
      <c r="E856" s="1"/>
    </row>
    <row r="857" spans="1:5" ht="14.25" customHeight="1" x14ac:dyDescent="0.35">
      <c r="A857" s="1"/>
      <c r="B857" s="1"/>
      <c r="C857" s="1"/>
      <c r="D857" s="2"/>
      <c r="E857" s="1"/>
    </row>
    <row r="858" spans="1:5" ht="14.25" customHeight="1" x14ac:dyDescent="0.35">
      <c r="A858" s="1"/>
      <c r="B858" s="1"/>
      <c r="C858" s="1"/>
      <c r="D858" s="2"/>
      <c r="E858" s="1"/>
    </row>
    <row r="859" spans="1:5" ht="14.25" customHeight="1" x14ac:dyDescent="0.35">
      <c r="A859" s="1"/>
      <c r="B859" s="1"/>
      <c r="C859" s="1"/>
      <c r="D859" s="2"/>
      <c r="E859" s="1"/>
    </row>
    <row r="860" spans="1:5" ht="14.25" customHeight="1" x14ac:dyDescent="0.35">
      <c r="A860" s="1"/>
      <c r="B860" s="1"/>
      <c r="C860" s="1"/>
      <c r="D860" s="2"/>
      <c r="E860" s="1"/>
    </row>
    <row r="861" spans="1:5" ht="14.25" customHeight="1" x14ac:dyDescent="0.35">
      <c r="A861" s="1"/>
      <c r="B861" s="1"/>
      <c r="C861" s="1"/>
      <c r="D861" s="2"/>
      <c r="E861" s="1"/>
    </row>
    <row r="862" spans="1:5" ht="14.25" customHeight="1" x14ac:dyDescent="0.35">
      <c r="A862" s="1"/>
      <c r="B862" s="1"/>
      <c r="C862" s="1"/>
      <c r="D862" s="2"/>
      <c r="E862" s="1"/>
    </row>
    <row r="863" spans="1:5" ht="14.25" customHeight="1" x14ac:dyDescent="0.35">
      <c r="A863" s="1"/>
      <c r="B863" s="1"/>
      <c r="C863" s="1"/>
      <c r="D863" s="2"/>
      <c r="E863" s="1"/>
    </row>
    <row r="864" spans="1:5" ht="14.25" customHeight="1" x14ac:dyDescent="0.35">
      <c r="A864" s="1"/>
      <c r="B864" s="1"/>
      <c r="C864" s="1"/>
      <c r="D864" s="2"/>
      <c r="E864" s="1"/>
    </row>
    <row r="865" spans="1:5" ht="14.25" customHeight="1" x14ac:dyDescent="0.35">
      <c r="A865" s="1"/>
      <c r="B865" s="1"/>
      <c r="C865" s="1"/>
      <c r="D865" s="2"/>
      <c r="E865" s="1"/>
    </row>
    <row r="866" spans="1:5" ht="14.25" customHeight="1" x14ac:dyDescent="0.35">
      <c r="A866" s="1"/>
      <c r="B866" s="1"/>
      <c r="C866" s="1"/>
      <c r="D866" s="2"/>
      <c r="E866" s="1"/>
    </row>
    <row r="867" spans="1:5" ht="14.25" customHeight="1" x14ac:dyDescent="0.35">
      <c r="A867" s="1"/>
      <c r="B867" s="1"/>
      <c r="C867" s="1"/>
      <c r="D867" s="2"/>
      <c r="E867" s="1"/>
    </row>
    <row r="868" spans="1:5" ht="14.25" customHeight="1" x14ac:dyDescent="0.35">
      <c r="A868" s="1"/>
      <c r="B868" s="1"/>
      <c r="C868" s="1"/>
      <c r="D868" s="2"/>
      <c r="E868" s="1"/>
    </row>
    <row r="869" spans="1:5" ht="14.25" customHeight="1" x14ac:dyDescent="0.35">
      <c r="A869" s="1"/>
      <c r="B869" s="1"/>
      <c r="C869" s="1"/>
      <c r="D869" s="2"/>
      <c r="E869" s="1"/>
    </row>
    <row r="870" spans="1:5" ht="14.25" customHeight="1" x14ac:dyDescent="0.35">
      <c r="A870" s="1"/>
      <c r="B870" s="1"/>
      <c r="C870" s="1"/>
      <c r="D870" s="2"/>
      <c r="E870" s="1"/>
    </row>
    <row r="871" spans="1:5" ht="14.25" customHeight="1" x14ac:dyDescent="0.35">
      <c r="A871" s="1"/>
      <c r="B871" s="1"/>
      <c r="C871" s="1"/>
      <c r="D871" s="2"/>
      <c r="E871" s="1"/>
    </row>
    <row r="872" spans="1:5" ht="14.25" customHeight="1" x14ac:dyDescent="0.35">
      <c r="A872" s="1"/>
      <c r="B872" s="1"/>
      <c r="C872" s="1"/>
      <c r="D872" s="2"/>
      <c r="E872" s="1"/>
    </row>
    <row r="873" spans="1:5" ht="14.25" customHeight="1" x14ac:dyDescent="0.35">
      <c r="A873" s="1"/>
      <c r="B873" s="1"/>
      <c r="C873" s="1"/>
      <c r="D873" s="2"/>
      <c r="E873" s="1"/>
    </row>
    <row r="874" spans="1:5" ht="14.25" customHeight="1" x14ac:dyDescent="0.35">
      <c r="A874" s="1"/>
      <c r="B874" s="1"/>
      <c r="C874" s="1"/>
      <c r="D874" s="2"/>
      <c r="E874" s="1"/>
    </row>
    <row r="875" spans="1:5" ht="14.25" customHeight="1" x14ac:dyDescent="0.35">
      <c r="A875" s="1"/>
      <c r="B875" s="1"/>
      <c r="C875" s="1"/>
      <c r="D875" s="2"/>
      <c r="E875" s="1"/>
    </row>
    <row r="876" spans="1:5" ht="14.25" customHeight="1" x14ac:dyDescent="0.35">
      <c r="A876" s="1"/>
      <c r="B876" s="1"/>
      <c r="C876" s="1"/>
      <c r="D876" s="2"/>
      <c r="E876" s="1"/>
    </row>
    <row r="877" spans="1:5" ht="14.25" customHeight="1" x14ac:dyDescent="0.35">
      <c r="A877" s="1"/>
      <c r="B877" s="1"/>
      <c r="C877" s="1"/>
      <c r="D877" s="2"/>
      <c r="E877" s="1"/>
    </row>
    <row r="878" spans="1:5" ht="14.25" customHeight="1" x14ac:dyDescent="0.35">
      <c r="A878" s="1"/>
      <c r="B878" s="1"/>
      <c r="C878" s="1"/>
      <c r="D878" s="2"/>
      <c r="E878" s="1"/>
    </row>
    <row r="879" spans="1:5" ht="14.25" customHeight="1" x14ac:dyDescent="0.35">
      <c r="A879" s="1"/>
      <c r="B879" s="1"/>
      <c r="C879" s="1"/>
      <c r="D879" s="2"/>
      <c r="E879" s="1"/>
    </row>
    <row r="880" spans="1:5" ht="14.25" customHeight="1" x14ac:dyDescent="0.35">
      <c r="A880" s="1"/>
      <c r="B880" s="1"/>
      <c r="C880" s="1"/>
      <c r="D880" s="2"/>
      <c r="E880" s="1"/>
    </row>
    <row r="881" spans="1:5" ht="14.25" customHeight="1" x14ac:dyDescent="0.35">
      <c r="A881" s="1"/>
      <c r="B881" s="1"/>
      <c r="C881" s="1"/>
      <c r="D881" s="2"/>
      <c r="E881" s="1"/>
    </row>
    <row r="882" spans="1:5" ht="14.25" customHeight="1" x14ac:dyDescent="0.35">
      <c r="A882" s="1"/>
      <c r="B882" s="1"/>
      <c r="C882" s="1"/>
      <c r="D882" s="2"/>
      <c r="E882" s="1"/>
    </row>
    <row r="883" spans="1:5" ht="14.25" customHeight="1" x14ac:dyDescent="0.35">
      <c r="A883" s="1"/>
      <c r="B883" s="1"/>
      <c r="C883" s="1"/>
      <c r="D883" s="2"/>
      <c r="E883" s="1"/>
    </row>
    <row r="884" spans="1:5" ht="14.25" customHeight="1" x14ac:dyDescent="0.35">
      <c r="A884" s="1"/>
      <c r="B884" s="1"/>
      <c r="C884" s="1"/>
      <c r="D884" s="2"/>
      <c r="E884" s="1"/>
    </row>
    <row r="885" spans="1:5" ht="14.25" customHeight="1" x14ac:dyDescent="0.35">
      <c r="A885" s="1"/>
      <c r="B885" s="1"/>
      <c r="C885" s="1"/>
      <c r="D885" s="2"/>
      <c r="E885" s="1"/>
    </row>
    <row r="886" spans="1:5" ht="14.25" customHeight="1" x14ac:dyDescent="0.35">
      <c r="A886" s="1"/>
      <c r="B886" s="1"/>
      <c r="C886" s="1"/>
      <c r="D886" s="2"/>
      <c r="E886" s="1"/>
    </row>
    <row r="887" spans="1:5" ht="14.25" customHeight="1" x14ac:dyDescent="0.35">
      <c r="A887" s="1"/>
      <c r="B887" s="1"/>
      <c r="C887" s="1"/>
      <c r="D887" s="2"/>
      <c r="E887" s="1"/>
    </row>
    <row r="888" spans="1:5" ht="14.25" customHeight="1" x14ac:dyDescent="0.35">
      <c r="A888" s="1"/>
      <c r="B888" s="1"/>
      <c r="C888" s="1"/>
      <c r="D888" s="2"/>
      <c r="E888" s="1"/>
    </row>
    <row r="889" spans="1:5" ht="14.25" customHeight="1" x14ac:dyDescent="0.35">
      <c r="A889" s="1"/>
      <c r="B889" s="1"/>
      <c r="C889" s="1"/>
      <c r="D889" s="2"/>
      <c r="E889" s="1"/>
    </row>
    <row r="890" spans="1:5" ht="14.25" customHeight="1" x14ac:dyDescent="0.35">
      <c r="A890" s="1"/>
      <c r="B890" s="1"/>
      <c r="C890" s="1"/>
      <c r="D890" s="2"/>
      <c r="E890" s="1"/>
    </row>
    <row r="891" spans="1:5" ht="14.25" customHeight="1" x14ac:dyDescent="0.35">
      <c r="A891" s="1"/>
      <c r="B891" s="1"/>
      <c r="C891" s="1"/>
      <c r="D891" s="2"/>
      <c r="E891" s="1"/>
    </row>
    <row r="892" spans="1:5" ht="14.25" customHeight="1" x14ac:dyDescent="0.35">
      <c r="A892" s="1"/>
      <c r="B892" s="1"/>
      <c r="C892" s="1"/>
      <c r="D892" s="2"/>
      <c r="E892" s="1"/>
    </row>
    <row r="893" spans="1:5" ht="14.25" customHeight="1" x14ac:dyDescent="0.35">
      <c r="A893" s="1"/>
      <c r="B893" s="1"/>
      <c r="C893" s="1"/>
      <c r="D893" s="2"/>
      <c r="E893" s="1"/>
    </row>
    <row r="894" spans="1:5" ht="14.25" customHeight="1" x14ac:dyDescent="0.35">
      <c r="A894" s="1"/>
      <c r="B894" s="1"/>
      <c r="C894" s="1"/>
      <c r="D894" s="2"/>
      <c r="E894" s="1"/>
    </row>
    <row r="895" spans="1:5" ht="14.25" customHeight="1" x14ac:dyDescent="0.35">
      <c r="A895" s="1"/>
      <c r="B895" s="1"/>
      <c r="C895" s="1"/>
      <c r="D895" s="2"/>
      <c r="E895" s="1"/>
    </row>
    <row r="896" spans="1:5" ht="14.25" customHeight="1" x14ac:dyDescent="0.35">
      <c r="A896" s="1"/>
      <c r="B896" s="1"/>
      <c r="C896" s="1"/>
      <c r="D896" s="2"/>
      <c r="E896" s="1"/>
    </row>
    <row r="897" spans="1:5" ht="14.25" customHeight="1" x14ac:dyDescent="0.35">
      <c r="A897" s="1"/>
      <c r="B897" s="1"/>
      <c r="C897" s="1"/>
      <c r="D897" s="2"/>
      <c r="E897" s="1"/>
    </row>
    <row r="898" spans="1:5" ht="14.25" customHeight="1" x14ac:dyDescent="0.35">
      <c r="A898" s="1"/>
      <c r="B898" s="1"/>
      <c r="C898" s="1"/>
      <c r="D898" s="2"/>
      <c r="E898" s="1"/>
    </row>
    <row r="899" spans="1:5" ht="14.25" customHeight="1" x14ac:dyDescent="0.35">
      <c r="A899" s="1"/>
      <c r="B899" s="1"/>
      <c r="C899" s="1"/>
      <c r="D899" s="2"/>
      <c r="E899" s="1"/>
    </row>
    <row r="900" spans="1:5" ht="14.25" customHeight="1" x14ac:dyDescent="0.35">
      <c r="A900" s="1"/>
      <c r="B900" s="1"/>
      <c r="C900" s="1"/>
      <c r="D900" s="2"/>
      <c r="E900" s="1"/>
    </row>
    <row r="901" spans="1:5" ht="14.25" customHeight="1" x14ac:dyDescent="0.35">
      <c r="A901" s="1"/>
      <c r="B901" s="1"/>
      <c r="C901" s="1"/>
      <c r="D901" s="2"/>
      <c r="E901" s="1"/>
    </row>
    <row r="902" spans="1:5" ht="14.25" customHeight="1" x14ac:dyDescent="0.35">
      <c r="A902" s="1"/>
      <c r="B902" s="1"/>
      <c r="C902" s="1"/>
      <c r="D902" s="2"/>
      <c r="E902" s="1"/>
    </row>
    <row r="903" spans="1:5" ht="14.25" customHeight="1" x14ac:dyDescent="0.35">
      <c r="A903" s="1"/>
      <c r="B903" s="1"/>
      <c r="C903" s="1"/>
      <c r="D903" s="2"/>
      <c r="E903" s="1"/>
    </row>
    <row r="904" spans="1:5" ht="14.25" customHeight="1" x14ac:dyDescent="0.35">
      <c r="A904" s="1"/>
      <c r="B904" s="1"/>
      <c r="C904" s="1"/>
      <c r="D904" s="2"/>
      <c r="E904" s="1"/>
    </row>
    <row r="905" spans="1:5" ht="14.25" customHeight="1" x14ac:dyDescent="0.35">
      <c r="A905" s="1"/>
      <c r="B905" s="1"/>
      <c r="C905" s="1"/>
      <c r="D905" s="2"/>
      <c r="E905" s="1"/>
    </row>
    <row r="906" spans="1:5" ht="14.25" customHeight="1" x14ac:dyDescent="0.35">
      <c r="A906" s="1"/>
      <c r="B906" s="1"/>
      <c r="C906" s="1"/>
      <c r="D906" s="2"/>
      <c r="E906" s="1"/>
    </row>
    <row r="907" spans="1:5" ht="14.25" customHeight="1" x14ac:dyDescent="0.35">
      <c r="A907" s="1"/>
      <c r="B907" s="1"/>
      <c r="C907" s="1"/>
      <c r="D907" s="2"/>
      <c r="E907" s="1"/>
    </row>
    <row r="908" spans="1:5" ht="14.25" customHeight="1" x14ac:dyDescent="0.35">
      <c r="A908" s="1"/>
      <c r="B908" s="1"/>
      <c r="C908" s="1"/>
      <c r="D908" s="2"/>
      <c r="E908" s="1"/>
    </row>
    <row r="909" spans="1:5" ht="14.25" customHeight="1" x14ac:dyDescent="0.35">
      <c r="A909" s="1"/>
      <c r="B909" s="1"/>
      <c r="C909" s="1"/>
      <c r="D909" s="2"/>
      <c r="E909" s="1"/>
    </row>
    <row r="910" spans="1:5" ht="14.25" customHeight="1" x14ac:dyDescent="0.35">
      <c r="A910" s="1"/>
      <c r="B910" s="1"/>
      <c r="C910" s="1"/>
      <c r="D910" s="2"/>
      <c r="E910" s="1"/>
    </row>
    <row r="911" spans="1:5" ht="14.25" customHeight="1" x14ac:dyDescent="0.35">
      <c r="A911" s="1"/>
      <c r="B911" s="1"/>
      <c r="C911" s="1"/>
      <c r="D911" s="2"/>
      <c r="E911" s="1"/>
    </row>
    <row r="912" spans="1:5" ht="14.25" customHeight="1" x14ac:dyDescent="0.35">
      <c r="A912" s="1"/>
      <c r="B912" s="1"/>
      <c r="C912" s="1"/>
      <c r="D912" s="2"/>
      <c r="E912" s="1"/>
    </row>
    <row r="913" spans="1:5" ht="14.25" customHeight="1" x14ac:dyDescent="0.35">
      <c r="A913" s="1"/>
      <c r="B913" s="1"/>
      <c r="C913" s="1"/>
      <c r="D913" s="2"/>
      <c r="E913" s="1"/>
    </row>
    <row r="914" spans="1:5" ht="14.25" customHeight="1" x14ac:dyDescent="0.35">
      <c r="A914" s="1"/>
      <c r="B914" s="1"/>
      <c r="C914" s="1"/>
      <c r="D914" s="2"/>
      <c r="E914" s="1"/>
    </row>
    <row r="915" spans="1:5" ht="14.25" customHeight="1" x14ac:dyDescent="0.35">
      <c r="A915" s="1"/>
      <c r="B915" s="1"/>
      <c r="C915" s="1"/>
      <c r="D915" s="2"/>
      <c r="E915" s="1"/>
    </row>
    <row r="916" spans="1:5" ht="14.25" customHeight="1" x14ac:dyDescent="0.35">
      <c r="A916" s="1"/>
      <c r="B916" s="1"/>
      <c r="C916" s="1"/>
      <c r="D916" s="2"/>
      <c r="E916" s="1"/>
    </row>
    <row r="917" spans="1:5" ht="14.25" customHeight="1" x14ac:dyDescent="0.35">
      <c r="A917" s="1"/>
      <c r="B917" s="1"/>
      <c r="C917" s="1"/>
      <c r="D917" s="2"/>
      <c r="E917" s="1"/>
    </row>
    <row r="918" spans="1:5" ht="14.25" customHeight="1" x14ac:dyDescent="0.35">
      <c r="A918" s="1"/>
      <c r="B918" s="1"/>
      <c r="C918" s="1"/>
      <c r="D918" s="2"/>
      <c r="E918" s="1"/>
    </row>
    <row r="919" spans="1:5" ht="14.25" customHeight="1" x14ac:dyDescent="0.35">
      <c r="A919" s="1"/>
      <c r="B919" s="1"/>
      <c r="C919" s="1"/>
      <c r="D919" s="2"/>
      <c r="E919" s="1"/>
    </row>
    <row r="920" spans="1:5" ht="14.25" customHeight="1" x14ac:dyDescent="0.35">
      <c r="A920" s="1"/>
      <c r="B920" s="1"/>
      <c r="C920" s="1"/>
      <c r="D920" s="2"/>
      <c r="E920" s="1"/>
    </row>
    <row r="921" spans="1:5" ht="14.25" customHeight="1" x14ac:dyDescent="0.35">
      <c r="A921" s="1"/>
      <c r="B921" s="1"/>
      <c r="C921" s="1"/>
      <c r="D921" s="2"/>
      <c r="E921" s="1"/>
    </row>
    <row r="922" spans="1:5" ht="14.25" customHeight="1" x14ac:dyDescent="0.35">
      <c r="A922" s="1"/>
      <c r="B922" s="1"/>
      <c r="C922" s="1"/>
      <c r="D922" s="2"/>
      <c r="E922" s="1"/>
    </row>
    <row r="923" spans="1:5" ht="14.25" customHeight="1" x14ac:dyDescent="0.35">
      <c r="A923" s="1"/>
      <c r="B923" s="1"/>
      <c r="C923" s="1"/>
      <c r="D923" s="2"/>
      <c r="E923" s="1"/>
    </row>
    <row r="924" spans="1:5" ht="14.25" customHeight="1" x14ac:dyDescent="0.35">
      <c r="A924" s="1"/>
      <c r="B924" s="1"/>
      <c r="C924" s="1"/>
      <c r="D924" s="2"/>
      <c r="E924" s="1"/>
    </row>
    <row r="925" spans="1:5" ht="14.25" customHeight="1" x14ac:dyDescent="0.35">
      <c r="A925" s="1"/>
      <c r="B925" s="1"/>
      <c r="C925" s="1"/>
      <c r="D925" s="2"/>
      <c r="E925" s="1"/>
    </row>
    <row r="926" spans="1:5" ht="14.25" customHeight="1" x14ac:dyDescent="0.35">
      <c r="A926" s="1"/>
      <c r="B926" s="1"/>
      <c r="C926" s="1"/>
      <c r="D926" s="2"/>
      <c r="E926" s="1"/>
    </row>
    <row r="927" spans="1:5" ht="14.25" customHeight="1" x14ac:dyDescent="0.35">
      <c r="A927" s="1"/>
      <c r="B927" s="1"/>
      <c r="C927" s="1"/>
      <c r="D927" s="2"/>
      <c r="E927" s="1"/>
    </row>
    <row r="928" spans="1:5" ht="14.25" customHeight="1" x14ac:dyDescent="0.35">
      <c r="A928" s="1"/>
      <c r="B928" s="1"/>
      <c r="C928" s="1"/>
      <c r="D928" s="2"/>
      <c r="E928" s="1"/>
    </row>
    <row r="929" spans="1:5" ht="14.25" customHeight="1" x14ac:dyDescent="0.35">
      <c r="A929" s="1"/>
      <c r="B929" s="1"/>
      <c r="C929" s="1"/>
      <c r="D929" s="2"/>
      <c r="E929" s="1"/>
    </row>
    <row r="930" spans="1:5" ht="14.25" customHeight="1" x14ac:dyDescent="0.35">
      <c r="A930" s="1"/>
      <c r="B930" s="1"/>
      <c r="C930" s="1"/>
      <c r="D930" s="2"/>
      <c r="E930" s="1"/>
    </row>
    <row r="931" spans="1:5" ht="14.25" customHeight="1" x14ac:dyDescent="0.35">
      <c r="A931" s="1"/>
      <c r="B931" s="1"/>
      <c r="C931" s="1"/>
      <c r="D931" s="2"/>
      <c r="E931" s="1"/>
    </row>
    <row r="932" spans="1:5" ht="14.25" customHeight="1" x14ac:dyDescent="0.35">
      <c r="A932" s="1"/>
      <c r="B932" s="1"/>
      <c r="C932" s="1"/>
      <c r="D932" s="2"/>
      <c r="E932" s="1"/>
    </row>
    <row r="933" spans="1:5" ht="14.25" customHeight="1" x14ac:dyDescent="0.35">
      <c r="A933" s="1"/>
      <c r="B933" s="1"/>
      <c r="C933" s="1"/>
      <c r="D933" s="2"/>
      <c r="E933" s="1"/>
    </row>
    <row r="934" spans="1:5" ht="14.25" customHeight="1" x14ac:dyDescent="0.35">
      <c r="A934" s="1"/>
      <c r="B934" s="1"/>
      <c r="C934" s="1"/>
      <c r="D934" s="2"/>
      <c r="E934" s="1"/>
    </row>
    <row r="935" spans="1:5" ht="14.25" customHeight="1" x14ac:dyDescent="0.35">
      <c r="A935" s="1"/>
      <c r="B935" s="1"/>
      <c r="C935" s="1"/>
      <c r="D935" s="2"/>
      <c r="E935" s="1"/>
    </row>
    <row r="936" spans="1:5" ht="14.25" customHeight="1" x14ac:dyDescent="0.35">
      <c r="A936" s="1"/>
      <c r="B936" s="1"/>
      <c r="C936" s="1"/>
      <c r="D936" s="2"/>
      <c r="E936" s="1"/>
    </row>
    <row r="937" spans="1:5" ht="14.25" customHeight="1" x14ac:dyDescent="0.35">
      <c r="A937" s="1"/>
      <c r="B937" s="1"/>
      <c r="C937" s="1"/>
      <c r="D937" s="2"/>
      <c r="E937" s="1"/>
    </row>
    <row r="938" spans="1:5" ht="14.25" customHeight="1" x14ac:dyDescent="0.35">
      <c r="A938" s="1"/>
      <c r="B938" s="1"/>
      <c r="C938" s="1"/>
      <c r="D938" s="2"/>
      <c r="E938" s="1"/>
    </row>
    <row r="939" spans="1:5" ht="14.25" customHeight="1" x14ac:dyDescent="0.35">
      <c r="A939" s="1"/>
      <c r="B939" s="1"/>
      <c r="C939" s="1"/>
      <c r="D939" s="2"/>
      <c r="E939" s="1"/>
    </row>
    <row r="940" spans="1:5" ht="14.25" customHeight="1" x14ac:dyDescent="0.35">
      <c r="A940" s="1"/>
      <c r="B940" s="1"/>
      <c r="C940" s="1"/>
      <c r="D940" s="2"/>
      <c r="E940" s="1"/>
    </row>
    <row r="941" spans="1:5" ht="14.25" customHeight="1" x14ac:dyDescent="0.35">
      <c r="A941" s="1"/>
      <c r="B941" s="1"/>
      <c r="C941" s="1"/>
      <c r="D941" s="2"/>
      <c r="E941" s="1"/>
    </row>
    <row r="942" spans="1:5" ht="14.25" customHeight="1" x14ac:dyDescent="0.35">
      <c r="A942" s="1"/>
      <c r="B942" s="1"/>
      <c r="C942" s="1"/>
      <c r="D942" s="2"/>
      <c r="E942" s="1"/>
    </row>
    <row r="943" spans="1:5" ht="14.25" customHeight="1" x14ac:dyDescent="0.35">
      <c r="A943" s="1"/>
      <c r="B943" s="1"/>
      <c r="C943" s="1"/>
      <c r="D943" s="2"/>
      <c r="E943" s="1"/>
    </row>
    <row r="944" spans="1:5" ht="14.25" customHeight="1" x14ac:dyDescent="0.35">
      <c r="A944" s="1"/>
      <c r="B944" s="1"/>
      <c r="C944" s="1"/>
      <c r="D944" s="2"/>
      <c r="E944" s="1"/>
    </row>
    <row r="945" spans="1:5" ht="14.25" customHeight="1" x14ac:dyDescent="0.35">
      <c r="A945" s="1"/>
      <c r="B945" s="1"/>
      <c r="C945" s="1"/>
      <c r="D945" s="2"/>
      <c r="E945" s="1"/>
    </row>
    <row r="946" spans="1:5" ht="14.25" customHeight="1" x14ac:dyDescent="0.35">
      <c r="A946" s="1"/>
      <c r="B946" s="1"/>
      <c r="C946" s="1"/>
      <c r="D946" s="2"/>
      <c r="E946" s="1"/>
    </row>
    <row r="947" spans="1:5" ht="14.25" customHeight="1" x14ac:dyDescent="0.35">
      <c r="A947" s="1"/>
      <c r="B947" s="1"/>
      <c r="C947" s="1"/>
      <c r="D947" s="2"/>
      <c r="E947" s="1"/>
    </row>
    <row r="948" spans="1:5" ht="14.25" customHeight="1" x14ac:dyDescent="0.35">
      <c r="A948" s="1"/>
      <c r="B948" s="1"/>
      <c r="C948" s="1"/>
      <c r="D948" s="2"/>
      <c r="E948" s="1"/>
    </row>
    <row r="949" spans="1:5" ht="14.25" customHeight="1" x14ac:dyDescent="0.35">
      <c r="A949" s="1"/>
      <c r="B949" s="1"/>
      <c r="C949" s="1"/>
      <c r="D949" s="2"/>
      <c r="E949" s="1"/>
    </row>
    <row r="950" spans="1:5" ht="14.25" customHeight="1" x14ac:dyDescent="0.35">
      <c r="A950" s="1"/>
      <c r="B950" s="1"/>
      <c r="C950" s="1"/>
      <c r="D950" s="2"/>
      <c r="E950" s="1"/>
    </row>
    <row r="951" spans="1:5" ht="14.25" customHeight="1" x14ac:dyDescent="0.35">
      <c r="A951" s="1"/>
      <c r="B951" s="1"/>
      <c r="C951" s="1"/>
      <c r="D951" s="2"/>
      <c r="E951" s="1"/>
    </row>
    <row r="952" spans="1:5" ht="14.25" customHeight="1" x14ac:dyDescent="0.35">
      <c r="A952" s="1"/>
      <c r="B952" s="1"/>
      <c r="C952" s="1"/>
      <c r="D952" s="2"/>
      <c r="E952" s="1"/>
    </row>
    <row r="953" spans="1:5" ht="14.25" customHeight="1" x14ac:dyDescent="0.35">
      <c r="A953" s="1"/>
      <c r="B953" s="1"/>
      <c r="C953" s="1"/>
      <c r="D953" s="2"/>
      <c r="E953" s="1"/>
    </row>
    <row r="954" spans="1:5" ht="14.25" customHeight="1" x14ac:dyDescent="0.35">
      <c r="A954" s="1"/>
      <c r="B954" s="1"/>
      <c r="C954" s="1"/>
      <c r="D954" s="2"/>
      <c r="E954" s="1"/>
    </row>
    <row r="955" spans="1:5" ht="14.25" customHeight="1" x14ac:dyDescent="0.35">
      <c r="A955" s="1"/>
      <c r="B955" s="1"/>
      <c r="C955" s="1"/>
      <c r="D955" s="2"/>
      <c r="E955" s="1"/>
    </row>
    <row r="956" spans="1:5" ht="14.25" customHeight="1" x14ac:dyDescent="0.35">
      <c r="A956" s="1"/>
      <c r="B956" s="1"/>
      <c r="C956" s="1"/>
      <c r="D956" s="2"/>
      <c r="E956" s="1"/>
    </row>
    <row r="957" spans="1:5" ht="14.25" customHeight="1" x14ac:dyDescent="0.35">
      <c r="A957" s="1"/>
      <c r="B957" s="1"/>
      <c r="C957" s="1"/>
      <c r="D957" s="2"/>
      <c r="E957" s="1"/>
    </row>
    <row r="958" spans="1:5" ht="14.25" customHeight="1" x14ac:dyDescent="0.35">
      <c r="A958" s="1"/>
      <c r="B958" s="1"/>
      <c r="C958" s="1"/>
      <c r="D958" s="2"/>
      <c r="E958" s="1"/>
    </row>
    <row r="959" spans="1:5" ht="14.25" customHeight="1" x14ac:dyDescent="0.35">
      <c r="A959" s="1"/>
      <c r="B959" s="1"/>
      <c r="C959" s="1"/>
      <c r="D959" s="2"/>
      <c r="E959" s="1"/>
    </row>
    <row r="960" spans="1:5" ht="14.25" customHeight="1" x14ac:dyDescent="0.35">
      <c r="A960" s="1"/>
      <c r="B960" s="1"/>
      <c r="C960" s="1"/>
      <c r="D960" s="2"/>
      <c r="E960" s="1"/>
    </row>
    <row r="961" spans="1:5" ht="14.25" customHeight="1" x14ac:dyDescent="0.35">
      <c r="A961" s="1"/>
      <c r="B961" s="1"/>
      <c r="C961" s="1"/>
      <c r="D961" s="2"/>
      <c r="E961" s="1"/>
    </row>
    <row r="962" spans="1:5" ht="14.25" customHeight="1" x14ac:dyDescent="0.35">
      <c r="A962" s="1"/>
      <c r="B962" s="1"/>
      <c r="C962" s="1"/>
      <c r="D962" s="2"/>
      <c r="E962" s="1"/>
    </row>
    <row r="963" spans="1:5" ht="14.25" customHeight="1" x14ac:dyDescent="0.35">
      <c r="A963" s="1"/>
      <c r="B963" s="1"/>
      <c r="C963" s="1"/>
      <c r="D963" s="2"/>
      <c r="E963" s="1"/>
    </row>
    <row r="964" spans="1:5" ht="14.25" customHeight="1" x14ac:dyDescent="0.35">
      <c r="A964" s="1"/>
      <c r="B964" s="1"/>
      <c r="C964" s="1"/>
      <c r="D964" s="2"/>
      <c r="E964" s="1"/>
    </row>
    <row r="965" spans="1:5" ht="14.25" customHeight="1" x14ac:dyDescent="0.35">
      <c r="A965" s="1"/>
      <c r="B965" s="1"/>
      <c r="C965" s="1"/>
      <c r="D965" s="2"/>
      <c r="E965" s="1"/>
    </row>
    <row r="966" spans="1:5" ht="14.25" customHeight="1" x14ac:dyDescent="0.35">
      <c r="A966" s="1"/>
      <c r="B966" s="1"/>
      <c r="C966" s="1"/>
      <c r="D966" s="2"/>
      <c r="E966" s="1"/>
    </row>
    <row r="967" spans="1:5" ht="14.25" customHeight="1" x14ac:dyDescent="0.35">
      <c r="A967" s="1"/>
      <c r="B967" s="1"/>
      <c r="C967" s="1"/>
      <c r="D967" s="2"/>
      <c r="E967" s="1"/>
    </row>
    <row r="968" spans="1:5" ht="14.25" customHeight="1" x14ac:dyDescent="0.35">
      <c r="A968" s="1"/>
      <c r="B968" s="1"/>
      <c r="C968" s="1"/>
      <c r="D968" s="2"/>
      <c r="E968" s="1"/>
    </row>
    <row r="969" spans="1:5" ht="14.25" customHeight="1" x14ac:dyDescent="0.35">
      <c r="A969" s="1"/>
      <c r="B969" s="1"/>
      <c r="C969" s="1"/>
      <c r="D969" s="2"/>
      <c r="E969" s="1"/>
    </row>
    <row r="970" spans="1:5" ht="14.25" customHeight="1" x14ac:dyDescent="0.35">
      <c r="A970" s="1"/>
      <c r="B970" s="1"/>
      <c r="C970" s="1"/>
      <c r="D970" s="2"/>
      <c r="E970" s="1"/>
    </row>
    <row r="971" spans="1:5" ht="14.25" customHeight="1" x14ac:dyDescent="0.35">
      <c r="A971" s="1"/>
      <c r="B971" s="1"/>
      <c r="C971" s="1"/>
      <c r="D971" s="2"/>
      <c r="E971" s="1"/>
    </row>
    <row r="972" spans="1:5" ht="14.25" customHeight="1" x14ac:dyDescent="0.35">
      <c r="A972" s="1"/>
      <c r="B972" s="1"/>
      <c r="C972" s="1"/>
      <c r="D972" s="2"/>
      <c r="E972" s="1"/>
    </row>
    <row r="973" spans="1:5" ht="14.25" customHeight="1" x14ac:dyDescent="0.35">
      <c r="A973" s="1"/>
      <c r="B973" s="1"/>
      <c r="C973" s="1"/>
      <c r="D973" s="2"/>
      <c r="E973" s="1"/>
    </row>
    <row r="974" spans="1:5" ht="14.25" customHeight="1" x14ac:dyDescent="0.35">
      <c r="A974" s="1"/>
      <c r="B974" s="1"/>
      <c r="C974" s="1"/>
      <c r="D974" s="2"/>
      <c r="E974" s="1"/>
    </row>
    <row r="975" spans="1:5" ht="14.25" customHeight="1" x14ac:dyDescent="0.35">
      <c r="A975" s="1"/>
      <c r="B975" s="1"/>
      <c r="C975" s="1"/>
      <c r="D975" s="2"/>
      <c r="E975" s="1"/>
    </row>
    <row r="976" spans="1:5" ht="14.25" customHeight="1" x14ac:dyDescent="0.35">
      <c r="A976" s="1"/>
      <c r="B976" s="1"/>
      <c r="C976" s="1"/>
      <c r="D976" s="2"/>
      <c r="E976" s="1"/>
    </row>
    <row r="977" spans="1:5" ht="14.25" customHeight="1" x14ac:dyDescent="0.35">
      <c r="A977" s="1"/>
      <c r="B977" s="1"/>
      <c r="C977" s="1"/>
      <c r="D977" s="2"/>
      <c r="E977" s="1"/>
    </row>
    <row r="978" spans="1:5" ht="14.25" customHeight="1" x14ac:dyDescent="0.35">
      <c r="A978" s="1"/>
      <c r="B978" s="1"/>
      <c r="C978" s="1"/>
      <c r="D978" s="2"/>
      <c r="E978" s="1"/>
    </row>
    <row r="979" spans="1:5" ht="14.25" customHeight="1" x14ac:dyDescent="0.35">
      <c r="A979" s="1"/>
      <c r="B979" s="1"/>
      <c r="C979" s="1"/>
      <c r="D979" s="2"/>
      <c r="E979" s="1"/>
    </row>
    <row r="980" spans="1:5" ht="14.25" customHeight="1" x14ac:dyDescent="0.35">
      <c r="A980" s="1"/>
      <c r="B980" s="1"/>
      <c r="C980" s="1"/>
      <c r="D980" s="2"/>
      <c r="E980" s="1"/>
    </row>
    <row r="981" spans="1:5" ht="14.25" customHeight="1" x14ac:dyDescent="0.35">
      <c r="A981" s="1"/>
      <c r="B981" s="1"/>
      <c r="C981" s="1"/>
      <c r="D981" s="2"/>
      <c r="E981" s="1"/>
    </row>
    <row r="982" spans="1:5" ht="14.25" customHeight="1" x14ac:dyDescent="0.35">
      <c r="A982" s="1"/>
      <c r="B982" s="1"/>
      <c r="C982" s="1"/>
      <c r="D982" s="2"/>
      <c r="E982" s="1"/>
    </row>
    <row r="983" spans="1:5" ht="14.25" customHeight="1" x14ac:dyDescent="0.35">
      <c r="A983" s="1"/>
      <c r="B983" s="1"/>
      <c r="C983" s="1"/>
      <c r="D983" s="2"/>
      <c r="E983" s="1"/>
    </row>
    <row r="984" spans="1:5" ht="14.25" customHeight="1" x14ac:dyDescent="0.35">
      <c r="A984" s="1"/>
      <c r="B984" s="1"/>
      <c r="C984" s="1"/>
      <c r="D984" s="2"/>
      <c r="E984" s="1"/>
    </row>
    <row r="985" spans="1:5" ht="14.25" customHeight="1" x14ac:dyDescent="0.35">
      <c r="A985" s="1"/>
      <c r="B985" s="1"/>
      <c r="C985" s="1"/>
      <c r="D985" s="2"/>
      <c r="E985" s="1"/>
    </row>
    <row r="986" spans="1:5" ht="14.25" customHeight="1" x14ac:dyDescent="0.35">
      <c r="A986" s="1"/>
      <c r="B986" s="1"/>
      <c r="C986" s="1"/>
      <c r="D986" s="2"/>
      <c r="E986" s="1"/>
    </row>
    <row r="987" spans="1:5" ht="14.25" customHeight="1" x14ac:dyDescent="0.35">
      <c r="A987" s="1"/>
      <c r="B987" s="1"/>
      <c r="C987" s="1"/>
      <c r="D987" s="2"/>
      <c r="E987" s="1"/>
    </row>
    <row r="988" spans="1:5" ht="14.25" customHeight="1" x14ac:dyDescent="0.35">
      <c r="A988" s="1"/>
      <c r="B988" s="1"/>
      <c r="C988" s="1"/>
      <c r="D988" s="2"/>
      <c r="E988" s="1"/>
    </row>
    <row r="989" spans="1:5" ht="14.25" customHeight="1" x14ac:dyDescent="0.35">
      <c r="A989" s="1"/>
      <c r="B989" s="1"/>
      <c r="C989" s="1"/>
      <c r="D989" s="2"/>
      <c r="E989" s="1"/>
    </row>
    <row r="990" spans="1:5" ht="14.25" customHeight="1" x14ac:dyDescent="0.35">
      <c r="A990" s="1"/>
      <c r="B990" s="1"/>
      <c r="C990" s="1"/>
      <c r="D990" s="2"/>
      <c r="E990" s="1"/>
    </row>
    <row r="991" spans="1:5" ht="14.25" customHeight="1" x14ac:dyDescent="0.35">
      <c r="A991" s="1"/>
      <c r="B991" s="1"/>
      <c r="C991" s="1"/>
      <c r="D991" s="2"/>
      <c r="E991" s="1"/>
    </row>
    <row r="992" spans="1:5" ht="14.25" customHeight="1" x14ac:dyDescent="0.35">
      <c r="A992" s="1"/>
      <c r="B992" s="1"/>
      <c r="C992" s="1"/>
      <c r="D992" s="2"/>
      <c r="E992" s="1"/>
    </row>
    <row r="993" spans="1:5" ht="14.25" customHeight="1" x14ac:dyDescent="0.35">
      <c r="A993" s="1"/>
      <c r="B993" s="1"/>
      <c r="C993" s="1"/>
      <c r="D993" s="2"/>
      <c r="E993" s="1"/>
    </row>
    <row r="994" spans="1:5" ht="14.25" customHeight="1" x14ac:dyDescent="0.35">
      <c r="A994" s="1"/>
      <c r="B994" s="1"/>
      <c r="C994" s="1"/>
      <c r="D994" s="2"/>
      <c r="E994" s="1"/>
    </row>
    <row r="995" spans="1:5" ht="14.25" customHeight="1" x14ac:dyDescent="0.35">
      <c r="A995" s="1"/>
      <c r="B995" s="1"/>
      <c r="C995" s="1"/>
      <c r="D995" s="2"/>
      <c r="E995" s="1"/>
    </row>
    <row r="996" spans="1:5" ht="14.25" customHeight="1" x14ac:dyDescent="0.35">
      <c r="A996" s="1"/>
      <c r="B996" s="1"/>
      <c r="C996" s="1"/>
      <c r="D996" s="2"/>
      <c r="E996" s="1"/>
    </row>
    <row r="997" spans="1:5" ht="14.25" customHeight="1" x14ac:dyDescent="0.35">
      <c r="A997" s="1"/>
      <c r="B997" s="1"/>
      <c r="C997" s="1"/>
      <c r="D997" s="2"/>
      <c r="E997" s="1"/>
    </row>
    <row r="998" spans="1:5" ht="14.25" customHeight="1" x14ac:dyDescent="0.35">
      <c r="A998" s="1"/>
      <c r="B998" s="1"/>
      <c r="C998" s="1"/>
      <c r="D998" s="2"/>
      <c r="E998" s="1"/>
    </row>
    <row r="999" spans="1:5" ht="14.25" customHeight="1" x14ac:dyDescent="0.35">
      <c r="A999" s="1"/>
      <c r="B999" s="1"/>
      <c r="C999" s="1"/>
      <c r="D999" s="2"/>
      <c r="E999" s="1"/>
    </row>
    <row r="1000" spans="1:5" ht="14.25" customHeight="1" x14ac:dyDescent="0.35">
      <c r="A1000" s="1"/>
      <c r="B1000" s="1"/>
      <c r="C1000" s="1"/>
      <c r="D1000" s="2"/>
      <c r="E1000" s="1"/>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B6"/>
    </sheetView>
  </sheetViews>
  <sheetFormatPr defaultColWidth="14.453125" defaultRowHeight="15" customHeight="1" x14ac:dyDescent="0.35"/>
  <sheetData>
    <row r="1" spans="1:26" x14ac:dyDescent="0.35">
      <c r="A1" s="59" t="s">
        <v>6</v>
      </c>
      <c r="B1" s="59" t="s">
        <v>248</v>
      </c>
      <c r="C1" s="3"/>
      <c r="D1" s="3"/>
      <c r="E1" s="3"/>
      <c r="F1" s="3"/>
      <c r="G1" s="3"/>
      <c r="H1" s="3"/>
      <c r="I1" s="3"/>
      <c r="J1" s="3"/>
      <c r="K1" s="3"/>
      <c r="L1" s="3"/>
      <c r="M1" s="3"/>
      <c r="N1" s="3"/>
      <c r="O1" s="3"/>
      <c r="P1" s="3"/>
      <c r="Q1" s="3"/>
      <c r="R1" s="3"/>
      <c r="S1" s="3"/>
      <c r="T1" s="3"/>
      <c r="U1" s="3"/>
      <c r="V1" s="3"/>
      <c r="W1" s="3"/>
      <c r="X1" s="3"/>
      <c r="Y1" s="3"/>
      <c r="Z1" s="3"/>
    </row>
    <row r="2" spans="1:26" x14ac:dyDescent="0.35">
      <c r="A2" s="60" t="s">
        <v>45</v>
      </c>
      <c r="B2" s="61">
        <v>97500</v>
      </c>
      <c r="C2" s="3"/>
      <c r="D2" s="3"/>
      <c r="E2" s="3"/>
      <c r="F2" s="3"/>
      <c r="G2" s="3"/>
      <c r="H2" s="3"/>
      <c r="I2" s="3"/>
      <c r="J2" s="3"/>
      <c r="K2" s="3"/>
      <c r="L2" s="3"/>
      <c r="M2" s="3"/>
      <c r="N2" s="3"/>
      <c r="O2" s="3"/>
      <c r="P2" s="3"/>
      <c r="Q2" s="3"/>
      <c r="R2" s="3"/>
      <c r="S2" s="3"/>
      <c r="T2" s="3"/>
      <c r="U2" s="3"/>
      <c r="V2" s="3"/>
      <c r="W2" s="3"/>
      <c r="X2" s="3"/>
      <c r="Y2" s="3"/>
      <c r="Z2" s="3"/>
    </row>
    <row r="3" spans="1:26" x14ac:dyDescent="0.35">
      <c r="A3" s="60" t="s">
        <v>23</v>
      </c>
      <c r="B3" s="61">
        <v>50500</v>
      </c>
      <c r="C3" s="3"/>
      <c r="D3" s="3"/>
      <c r="E3" s="3"/>
      <c r="F3" s="3"/>
      <c r="G3" s="3"/>
      <c r="H3" s="3"/>
      <c r="I3" s="3"/>
      <c r="J3" s="3"/>
      <c r="K3" s="3"/>
      <c r="L3" s="3"/>
      <c r="M3" s="3"/>
      <c r="N3" s="3"/>
      <c r="O3" s="3"/>
      <c r="P3" s="3"/>
      <c r="Q3" s="3"/>
      <c r="R3" s="3"/>
      <c r="S3" s="3"/>
      <c r="T3" s="3"/>
      <c r="U3" s="3"/>
      <c r="V3" s="3"/>
      <c r="W3" s="3"/>
      <c r="X3" s="3"/>
      <c r="Y3" s="3"/>
      <c r="Z3" s="3"/>
    </row>
    <row r="4" spans="1:26" x14ac:dyDescent="0.35">
      <c r="A4" s="60" t="s">
        <v>16</v>
      </c>
      <c r="B4" s="61">
        <v>105000</v>
      </c>
      <c r="C4" s="3"/>
      <c r="D4" s="3"/>
      <c r="E4" s="3"/>
      <c r="F4" s="3"/>
      <c r="G4" s="3"/>
      <c r="H4" s="3"/>
      <c r="I4" s="3"/>
      <c r="J4" s="3"/>
      <c r="K4" s="3"/>
      <c r="L4" s="3"/>
      <c r="M4" s="3"/>
      <c r="N4" s="3"/>
      <c r="O4" s="3"/>
      <c r="P4" s="3"/>
      <c r="Q4" s="3"/>
      <c r="R4" s="3"/>
      <c r="S4" s="3"/>
      <c r="T4" s="3"/>
      <c r="U4" s="3"/>
      <c r="V4" s="3"/>
      <c r="W4" s="3"/>
      <c r="X4" s="3"/>
      <c r="Y4" s="3"/>
      <c r="Z4" s="3"/>
    </row>
    <row r="5" spans="1:26" x14ac:dyDescent="0.35">
      <c r="A5" s="60" t="s">
        <v>28</v>
      </c>
      <c r="B5" s="61">
        <v>91500</v>
      </c>
      <c r="C5" s="3"/>
      <c r="D5" s="3"/>
      <c r="E5" s="3"/>
      <c r="F5" s="3"/>
      <c r="G5" s="3"/>
      <c r="H5" s="3"/>
      <c r="I5" s="3"/>
      <c r="J5" s="3"/>
      <c r="K5" s="3"/>
      <c r="L5" s="3"/>
      <c r="M5" s="3"/>
      <c r="N5" s="3"/>
      <c r="O5" s="3"/>
      <c r="P5" s="3"/>
      <c r="Q5" s="3"/>
      <c r="R5" s="3"/>
      <c r="S5" s="3"/>
      <c r="T5" s="3"/>
      <c r="U5" s="3"/>
      <c r="V5" s="3"/>
      <c r="W5" s="3"/>
      <c r="X5" s="3"/>
      <c r="Y5" s="3"/>
      <c r="Z5" s="3"/>
    </row>
    <row r="6" spans="1:26" x14ac:dyDescent="0.35">
      <c r="A6" s="60" t="s">
        <v>50</v>
      </c>
      <c r="B6" s="61">
        <v>90750</v>
      </c>
      <c r="C6" s="3"/>
      <c r="F6" s="3"/>
      <c r="G6" s="3"/>
      <c r="H6" s="3"/>
      <c r="I6" s="3"/>
      <c r="J6" s="3"/>
      <c r="K6" s="3"/>
      <c r="L6" s="3"/>
      <c r="M6" s="3"/>
      <c r="N6" s="3"/>
      <c r="O6" s="3"/>
      <c r="P6" s="3"/>
      <c r="Q6" s="3"/>
      <c r="R6" s="3"/>
      <c r="S6" s="3"/>
      <c r="T6" s="3"/>
      <c r="U6" s="3"/>
      <c r="V6" s="3"/>
      <c r="W6" s="3"/>
      <c r="X6" s="3"/>
      <c r="Y6" s="3"/>
      <c r="Z6" s="3"/>
    </row>
    <row r="7" spans="1:26" x14ac:dyDescent="0.35">
      <c r="A7" s="3"/>
      <c r="B7" s="3"/>
      <c r="C7" s="3"/>
      <c r="F7" s="3"/>
      <c r="G7" s="3"/>
      <c r="H7" s="3"/>
      <c r="I7" s="3"/>
      <c r="J7" s="3"/>
      <c r="K7" s="3"/>
      <c r="L7" s="3"/>
      <c r="M7" s="3"/>
      <c r="N7" s="3"/>
      <c r="O7" s="3"/>
      <c r="P7" s="3"/>
      <c r="Q7" s="3"/>
      <c r="R7" s="3"/>
      <c r="S7" s="3"/>
      <c r="T7" s="3"/>
      <c r="U7" s="3"/>
      <c r="V7" s="3"/>
      <c r="W7" s="3"/>
      <c r="X7" s="3"/>
      <c r="Y7" s="3"/>
      <c r="Z7" s="3"/>
    </row>
    <row r="8" spans="1:26" x14ac:dyDescent="0.35">
      <c r="A8" s="3"/>
      <c r="B8" s="3"/>
      <c r="C8" s="3"/>
      <c r="F8" s="3"/>
      <c r="G8" s="3"/>
      <c r="H8" s="3"/>
      <c r="I8" s="3"/>
      <c r="J8" s="3"/>
      <c r="K8" s="3"/>
      <c r="L8" s="3"/>
      <c r="M8" s="3"/>
      <c r="N8" s="3"/>
      <c r="O8" s="3"/>
      <c r="P8" s="3"/>
      <c r="Q8" s="3"/>
      <c r="R8" s="3"/>
      <c r="S8" s="3"/>
      <c r="T8" s="3"/>
      <c r="U8" s="3"/>
      <c r="V8" s="3"/>
      <c r="W8" s="3"/>
      <c r="X8" s="3"/>
      <c r="Y8" s="3"/>
      <c r="Z8" s="3"/>
    </row>
    <row r="9" spans="1:26" x14ac:dyDescent="0.35">
      <c r="A9" s="3"/>
      <c r="B9" s="3"/>
      <c r="C9" s="3"/>
      <c r="F9" s="3"/>
      <c r="G9" s="3"/>
      <c r="H9" s="3"/>
      <c r="I9" s="3"/>
      <c r="J9" s="3"/>
      <c r="K9" s="3"/>
      <c r="L9" s="3"/>
      <c r="M9" s="3"/>
      <c r="N9" s="3"/>
      <c r="O9" s="3"/>
      <c r="P9" s="3"/>
      <c r="Q9" s="3"/>
      <c r="R9" s="3"/>
      <c r="S9" s="3"/>
      <c r="T9" s="3"/>
      <c r="U9" s="3"/>
      <c r="V9" s="3"/>
      <c r="W9" s="3"/>
      <c r="X9" s="3"/>
      <c r="Y9" s="3"/>
      <c r="Z9" s="3"/>
    </row>
    <row r="10" spans="1:26" x14ac:dyDescent="0.35">
      <c r="A10" s="3"/>
      <c r="B10" s="3"/>
      <c r="C10" s="3"/>
      <c r="F10" s="3"/>
      <c r="G10" s="3"/>
      <c r="H10" s="3"/>
      <c r="I10" s="3"/>
      <c r="J10" s="3"/>
      <c r="K10" s="3"/>
      <c r="L10" s="3"/>
      <c r="M10" s="3"/>
      <c r="N10" s="3"/>
      <c r="O10" s="3"/>
      <c r="P10" s="3"/>
      <c r="Q10" s="3"/>
      <c r="R10" s="3"/>
      <c r="S10" s="3"/>
      <c r="T10" s="3"/>
      <c r="U10" s="3"/>
      <c r="V10" s="3"/>
      <c r="W10" s="3"/>
      <c r="X10" s="3"/>
      <c r="Y10" s="3"/>
      <c r="Z10" s="3"/>
    </row>
    <row r="11" spans="1:26" x14ac:dyDescent="0.3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3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E50"/>
    </sheetView>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54" t="s">
        <v>4</v>
      </c>
      <c r="B1" s="54" t="s">
        <v>249</v>
      </c>
      <c r="C1" s="54" t="s">
        <v>250</v>
      </c>
      <c r="D1" s="54" t="s">
        <v>251</v>
      </c>
      <c r="E1" s="54" t="s">
        <v>252</v>
      </c>
      <c r="F1" s="1"/>
      <c r="G1" s="1"/>
      <c r="H1" s="1"/>
      <c r="I1" s="1"/>
      <c r="J1" s="1"/>
      <c r="K1" s="1"/>
      <c r="L1" s="1"/>
      <c r="M1" s="1"/>
      <c r="N1" s="1"/>
      <c r="O1" s="1"/>
      <c r="P1" s="1"/>
      <c r="Q1" s="1"/>
      <c r="R1" s="1"/>
      <c r="S1" s="1"/>
      <c r="T1" s="1"/>
      <c r="U1" s="1"/>
      <c r="V1" s="1"/>
      <c r="W1" s="1"/>
      <c r="X1" s="1"/>
      <c r="Y1" s="1"/>
      <c r="Z1" s="1"/>
    </row>
    <row r="2" spans="1:26" ht="18" customHeight="1" x14ac:dyDescent="0.35">
      <c r="A2" s="56" t="s">
        <v>121</v>
      </c>
      <c r="B2" s="56" t="s">
        <v>253</v>
      </c>
      <c r="C2" s="56" t="s">
        <v>254</v>
      </c>
      <c r="D2" s="56" t="s">
        <v>255</v>
      </c>
      <c r="E2" s="56" t="s">
        <v>255</v>
      </c>
    </row>
    <row r="3" spans="1:26" ht="18" customHeight="1" x14ac:dyDescent="0.35">
      <c r="A3" s="56" t="s">
        <v>256</v>
      </c>
      <c r="B3" s="56" t="s">
        <v>257</v>
      </c>
      <c r="C3" s="56" t="s">
        <v>258</v>
      </c>
      <c r="D3" s="56" t="s">
        <v>259</v>
      </c>
      <c r="E3" s="56" t="s">
        <v>260</v>
      </c>
    </row>
    <row r="4" spans="1:26" ht="18" customHeight="1" x14ac:dyDescent="0.35">
      <c r="A4" s="56" t="s">
        <v>143</v>
      </c>
      <c r="B4" s="56" t="s">
        <v>261</v>
      </c>
      <c r="C4" s="56" t="s">
        <v>258</v>
      </c>
      <c r="D4" s="56" t="s">
        <v>262</v>
      </c>
      <c r="E4" s="56" t="s">
        <v>263</v>
      </c>
    </row>
    <row r="5" spans="1:26" ht="18" customHeight="1" x14ac:dyDescent="0.35">
      <c r="A5" s="56" t="s">
        <v>150</v>
      </c>
      <c r="B5" s="56" t="s">
        <v>264</v>
      </c>
      <c r="C5" s="56" t="s">
        <v>258</v>
      </c>
      <c r="D5" s="56" t="s">
        <v>265</v>
      </c>
      <c r="E5" s="56" t="s">
        <v>266</v>
      </c>
    </row>
    <row r="6" spans="1:26" ht="18" customHeight="1" x14ac:dyDescent="0.35">
      <c r="A6" s="56" t="s">
        <v>267</v>
      </c>
      <c r="B6" s="56" t="s">
        <v>268</v>
      </c>
      <c r="C6" s="56" t="s">
        <v>258</v>
      </c>
      <c r="D6" s="56" t="s">
        <v>259</v>
      </c>
      <c r="E6" s="56" t="s">
        <v>260</v>
      </c>
    </row>
    <row r="7" spans="1:26" ht="18" customHeight="1" x14ac:dyDescent="0.35">
      <c r="A7" s="56" t="s">
        <v>118</v>
      </c>
      <c r="B7" s="56" t="s">
        <v>269</v>
      </c>
      <c r="C7" s="56" t="s">
        <v>258</v>
      </c>
      <c r="D7" s="56" t="s">
        <v>270</v>
      </c>
      <c r="E7" s="56" t="s">
        <v>271</v>
      </c>
    </row>
    <row r="8" spans="1:26" ht="18" customHeight="1" x14ac:dyDescent="0.35">
      <c r="A8" s="56" t="s">
        <v>97</v>
      </c>
      <c r="B8" s="56" t="s">
        <v>272</v>
      </c>
      <c r="C8" s="56" t="s">
        <v>258</v>
      </c>
      <c r="D8" s="56" t="s">
        <v>265</v>
      </c>
      <c r="E8" s="56" t="s">
        <v>266</v>
      </c>
    </row>
    <row r="9" spans="1:26" ht="18" customHeight="1" x14ac:dyDescent="0.35">
      <c r="A9" s="56" t="s">
        <v>99</v>
      </c>
      <c r="B9" s="56" t="s">
        <v>273</v>
      </c>
      <c r="C9" s="56" t="s">
        <v>254</v>
      </c>
      <c r="D9" s="56" t="s">
        <v>274</v>
      </c>
      <c r="E9" s="56" t="s">
        <v>263</v>
      </c>
    </row>
    <row r="10" spans="1:26" ht="18" customHeight="1" x14ac:dyDescent="0.35">
      <c r="A10" s="56" t="s">
        <v>40</v>
      </c>
      <c r="B10" s="56" t="s">
        <v>275</v>
      </c>
      <c r="C10" s="56" t="s">
        <v>254</v>
      </c>
      <c r="D10" s="56" t="s">
        <v>259</v>
      </c>
      <c r="E10" s="56" t="s">
        <v>260</v>
      </c>
    </row>
    <row r="11" spans="1:26" ht="18" customHeight="1" x14ac:dyDescent="0.35">
      <c r="A11" s="56" t="s">
        <v>276</v>
      </c>
      <c r="B11" s="56" t="s">
        <v>277</v>
      </c>
      <c r="C11" s="56" t="s">
        <v>258</v>
      </c>
      <c r="D11" s="56" t="s">
        <v>270</v>
      </c>
      <c r="E11" s="56" t="s">
        <v>271</v>
      </c>
    </row>
    <row r="12" spans="1:26" ht="18" customHeight="1" x14ac:dyDescent="0.35">
      <c r="A12" s="56" t="s">
        <v>75</v>
      </c>
      <c r="B12" s="56" t="s">
        <v>278</v>
      </c>
      <c r="C12" s="56" t="s">
        <v>254</v>
      </c>
      <c r="D12" s="56" t="s">
        <v>279</v>
      </c>
      <c r="E12" s="56" t="s">
        <v>280</v>
      </c>
    </row>
    <row r="13" spans="1:26" ht="18" customHeight="1" x14ac:dyDescent="0.35">
      <c r="A13" s="56" t="s">
        <v>281</v>
      </c>
      <c r="B13" s="56" t="s">
        <v>253</v>
      </c>
      <c r="C13" s="56" t="s">
        <v>282</v>
      </c>
      <c r="D13" s="56" t="s">
        <v>283</v>
      </c>
      <c r="E13" s="56" t="s">
        <v>284</v>
      </c>
    </row>
    <row r="14" spans="1:26" ht="18" customHeight="1" x14ac:dyDescent="0.35">
      <c r="A14" s="56" t="s">
        <v>52</v>
      </c>
      <c r="B14" s="56" t="s">
        <v>268</v>
      </c>
      <c r="C14" s="56" t="s">
        <v>258</v>
      </c>
      <c r="D14" s="56" t="s">
        <v>259</v>
      </c>
      <c r="E14" s="56" t="s">
        <v>260</v>
      </c>
    </row>
    <row r="15" spans="1:26" ht="18" customHeight="1" x14ac:dyDescent="0.35">
      <c r="A15" s="56" t="s">
        <v>101</v>
      </c>
      <c r="B15" s="56" t="s">
        <v>273</v>
      </c>
      <c r="C15" s="56" t="s">
        <v>282</v>
      </c>
      <c r="D15" s="56" t="s">
        <v>270</v>
      </c>
      <c r="E15" s="56" t="s">
        <v>271</v>
      </c>
    </row>
    <row r="16" spans="1:26" ht="18" customHeight="1" x14ac:dyDescent="0.35">
      <c r="A16" s="56" t="s">
        <v>174</v>
      </c>
      <c r="B16" s="56" t="s">
        <v>285</v>
      </c>
      <c r="C16" s="56" t="s">
        <v>282</v>
      </c>
      <c r="D16" s="56" t="s">
        <v>283</v>
      </c>
      <c r="E16" s="56" t="s">
        <v>284</v>
      </c>
    </row>
    <row r="17" spans="1:5" ht="18" customHeight="1" x14ac:dyDescent="0.35">
      <c r="A17" s="56" t="s">
        <v>85</v>
      </c>
      <c r="B17" s="56" t="s">
        <v>286</v>
      </c>
      <c r="C17" s="56" t="s">
        <v>258</v>
      </c>
      <c r="D17" s="56" t="s">
        <v>283</v>
      </c>
      <c r="E17" s="56" t="s">
        <v>284</v>
      </c>
    </row>
    <row r="18" spans="1:5" ht="18" customHeight="1" x14ac:dyDescent="0.35">
      <c r="A18" s="56" t="s">
        <v>139</v>
      </c>
      <c r="B18" s="56" t="s">
        <v>287</v>
      </c>
      <c r="C18" s="56" t="s">
        <v>254</v>
      </c>
      <c r="D18" s="56" t="s">
        <v>262</v>
      </c>
      <c r="E18" s="56" t="s">
        <v>263</v>
      </c>
    </row>
    <row r="19" spans="1:5" ht="18" customHeight="1" x14ac:dyDescent="0.35">
      <c r="A19" s="56" t="s">
        <v>94</v>
      </c>
      <c r="B19" s="56" t="s">
        <v>288</v>
      </c>
      <c r="C19" s="56" t="s">
        <v>282</v>
      </c>
      <c r="D19" s="56" t="s">
        <v>279</v>
      </c>
      <c r="E19" s="56" t="s">
        <v>280</v>
      </c>
    </row>
    <row r="20" spans="1:5" ht="18" customHeight="1" x14ac:dyDescent="0.35">
      <c r="A20" s="56" t="s">
        <v>48</v>
      </c>
      <c r="B20" s="56" t="s">
        <v>269</v>
      </c>
      <c r="C20" s="56" t="s">
        <v>258</v>
      </c>
      <c r="D20" s="56" t="s">
        <v>259</v>
      </c>
      <c r="E20" s="56" t="s">
        <v>260</v>
      </c>
    </row>
    <row r="21" spans="1:5" ht="18" customHeight="1" x14ac:dyDescent="0.35">
      <c r="A21" s="56" t="s">
        <v>289</v>
      </c>
      <c r="B21" s="56" t="s">
        <v>290</v>
      </c>
      <c r="C21" s="56" t="s">
        <v>282</v>
      </c>
      <c r="D21" s="56" t="s">
        <v>270</v>
      </c>
      <c r="E21" s="56" t="s">
        <v>271</v>
      </c>
    </row>
    <row r="22" spans="1:5" ht="18" customHeight="1" x14ac:dyDescent="0.35">
      <c r="A22" s="56" t="s">
        <v>14</v>
      </c>
      <c r="B22" s="56" t="s">
        <v>291</v>
      </c>
      <c r="C22" s="56" t="s">
        <v>282</v>
      </c>
      <c r="D22" s="56" t="s">
        <v>262</v>
      </c>
      <c r="E22" s="56" t="s">
        <v>263</v>
      </c>
    </row>
    <row r="23" spans="1:5" ht="18" customHeight="1" x14ac:dyDescent="0.35">
      <c r="A23" s="56" t="s">
        <v>148</v>
      </c>
      <c r="B23" s="56" t="s">
        <v>286</v>
      </c>
      <c r="C23" s="56" t="s">
        <v>282</v>
      </c>
      <c r="D23" s="56" t="s">
        <v>279</v>
      </c>
      <c r="E23" s="56" t="s">
        <v>280</v>
      </c>
    </row>
    <row r="24" spans="1:5" ht="18" customHeight="1" x14ac:dyDescent="0.35">
      <c r="A24" s="56" t="s">
        <v>63</v>
      </c>
      <c r="B24" s="56" t="s">
        <v>292</v>
      </c>
      <c r="C24" s="56" t="s">
        <v>282</v>
      </c>
      <c r="D24" s="56" t="s">
        <v>262</v>
      </c>
      <c r="E24" s="56" t="s">
        <v>263</v>
      </c>
    </row>
    <row r="25" spans="1:5" ht="18" customHeight="1" x14ac:dyDescent="0.35">
      <c r="A25" s="56" t="s">
        <v>116</v>
      </c>
      <c r="B25" s="56" t="s">
        <v>293</v>
      </c>
      <c r="C25" s="56" t="s">
        <v>254</v>
      </c>
      <c r="D25" s="56" t="s">
        <v>279</v>
      </c>
      <c r="E25" s="56" t="s">
        <v>280</v>
      </c>
    </row>
    <row r="26" spans="1:5" ht="18" customHeight="1" x14ac:dyDescent="0.35">
      <c r="A26" s="56" t="s">
        <v>80</v>
      </c>
      <c r="B26" s="56" t="s">
        <v>287</v>
      </c>
      <c r="C26" s="56" t="s">
        <v>282</v>
      </c>
      <c r="D26" s="56" t="s">
        <v>279</v>
      </c>
      <c r="E26" s="56" t="s">
        <v>280</v>
      </c>
    </row>
    <row r="27" spans="1:5" ht="18" customHeight="1" x14ac:dyDescent="0.35">
      <c r="A27" s="56" t="s">
        <v>131</v>
      </c>
      <c r="B27" s="56" t="s">
        <v>291</v>
      </c>
      <c r="C27" s="56" t="s">
        <v>282</v>
      </c>
      <c r="D27" s="56" t="s">
        <v>259</v>
      </c>
      <c r="E27" s="56" t="s">
        <v>260</v>
      </c>
    </row>
    <row r="28" spans="1:5" ht="18" customHeight="1" x14ac:dyDescent="0.35">
      <c r="A28" s="56" t="s">
        <v>36</v>
      </c>
      <c r="B28" s="56" t="s">
        <v>294</v>
      </c>
      <c r="C28" s="56" t="s">
        <v>282</v>
      </c>
      <c r="D28" s="56" t="s">
        <v>259</v>
      </c>
      <c r="E28" s="56" t="s">
        <v>260</v>
      </c>
    </row>
    <row r="29" spans="1:5" ht="18" customHeight="1" x14ac:dyDescent="0.35">
      <c r="A29" s="56" t="s">
        <v>87</v>
      </c>
      <c r="B29" s="56" t="s">
        <v>295</v>
      </c>
      <c r="C29" s="56" t="s">
        <v>254</v>
      </c>
      <c r="D29" s="56" t="s">
        <v>262</v>
      </c>
      <c r="E29" s="56" t="s">
        <v>263</v>
      </c>
    </row>
    <row r="30" spans="1:5" ht="18" customHeight="1" x14ac:dyDescent="0.35">
      <c r="A30" s="56" t="s">
        <v>21</v>
      </c>
      <c r="B30" s="56" t="s">
        <v>285</v>
      </c>
      <c r="C30" s="56" t="s">
        <v>282</v>
      </c>
      <c r="D30" s="56" t="s">
        <v>279</v>
      </c>
      <c r="E30" s="56" t="s">
        <v>280</v>
      </c>
    </row>
    <row r="31" spans="1:5" ht="18" customHeight="1" x14ac:dyDescent="0.35">
      <c r="A31" s="56" t="s">
        <v>296</v>
      </c>
      <c r="B31" s="56" t="s">
        <v>287</v>
      </c>
      <c r="C31" s="56" t="s">
        <v>282</v>
      </c>
      <c r="D31" s="56" t="s">
        <v>259</v>
      </c>
      <c r="E31" s="56" t="s">
        <v>260</v>
      </c>
    </row>
    <row r="32" spans="1:5" ht="18" customHeight="1" x14ac:dyDescent="0.35">
      <c r="A32" s="56" t="s">
        <v>183</v>
      </c>
      <c r="B32" s="56" t="s">
        <v>297</v>
      </c>
      <c r="C32" s="56" t="s">
        <v>254</v>
      </c>
      <c r="D32" s="56" t="s">
        <v>259</v>
      </c>
      <c r="E32" s="56" t="s">
        <v>260</v>
      </c>
    </row>
    <row r="33" spans="1:5" ht="18" customHeight="1" x14ac:dyDescent="0.35">
      <c r="A33" s="56" t="s">
        <v>108</v>
      </c>
      <c r="B33" s="56" t="s">
        <v>298</v>
      </c>
      <c r="C33" s="56" t="s">
        <v>254</v>
      </c>
      <c r="D33" s="56" t="s">
        <v>262</v>
      </c>
      <c r="E33" s="56" t="s">
        <v>263</v>
      </c>
    </row>
    <row r="34" spans="1:5" ht="18" customHeight="1" x14ac:dyDescent="0.35">
      <c r="A34" s="56" t="s">
        <v>66</v>
      </c>
      <c r="B34" s="56" t="s">
        <v>299</v>
      </c>
      <c r="C34" s="56" t="s">
        <v>254</v>
      </c>
      <c r="D34" s="56" t="s">
        <v>283</v>
      </c>
      <c r="E34" s="56" t="s">
        <v>284</v>
      </c>
    </row>
    <row r="35" spans="1:5" ht="18" customHeight="1" x14ac:dyDescent="0.35">
      <c r="A35" s="56" t="s">
        <v>193</v>
      </c>
      <c r="B35" s="56" t="s">
        <v>300</v>
      </c>
      <c r="C35" s="56" t="s">
        <v>282</v>
      </c>
      <c r="D35" s="56" t="s">
        <v>283</v>
      </c>
      <c r="E35" s="56" t="s">
        <v>284</v>
      </c>
    </row>
    <row r="36" spans="1:5" ht="18" customHeight="1" x14ac:dyDescent="0.35">
      <c r="A36" s="56" t="s">
        <v>146</v>
      </c>
      <c r="B36" s="56" t="s">
        <v>301</v>
      </c>
      <c r="C36" s="56" t="s">
        <v>254</v>
      </c>
      <c r="D36" s="56" t="s">
        <v>279</v>
      </c>
      <c r="E36" s="56" t="s">
        <v>280</v>
      </c>
    </row>
    <row r="37" spans="1:5" ht="18" customHeight="1" x14ac:dyDescent="0.35">
      <c r="A37" s="56" t="s">
        <v>186</v>
      </c>
      <c r="B37" s="56" t="s">
        <v>261</v>
      </c>
      <c r="C37" s="56" t="s">
        <v>254</v>
      </c>
      <c r="D37" s="56" t="s">
        <v>270</v>
      </c>
      <c r="E37" s="56" t="s">
        <v>271</v>
      </c>
    </row>
    <row r="38" spans="1:5" ht="18" customHeight="1" x14ac:dyDescent="0.35">
      <c r="A38" s="56" t="s">
        <v>103</v>
      </c>
      <c r="B38" s="56" t="s">
        <v>257</v>
      </c>
      <c r="C38" s="56" t="s">
        <v>282</v>
      </c>
      <c r="D38" s="56" t="s">
        <v>279</v>
      </c>
      <c r="E38" s="56" t="s">
        <v>280</v>
      </c>
    </row>
    <row r="39" spans="1:5" ht="18" customHeight="1" x14ac:dyDescent="0.35">
      <c r="A39" s="56" t="s">
        <v>302</v>
      </c>
      <c r="B39" s="56" t="s">
        <v>303</v>
      </c>
      <c r="C39" s="56" t="s">
        <v>254</v>
      </c>
      <c r="D39" s="56" t="s">
        <v>262</v>
      </c>
      <c r="E39" s="56" t="s">
        <v>263</v>
      </c>
    </row>
    <row r="40" spans="1:5" ht="18" customHeight="1" x14ac:dyDescent="0.35">
      <c r="A40" s="56" t="s">
        <v>127</v>
      </c>
      <c r="B40" s="56" t="s">
        <v>304</v>
      </c>
      <c r="C40" s="56" t="s">
        <v>282</v>
      </c>
      <c r="D40" s="56" t="s">
        <v>262</v>
      </c>
      <c r="E40" s="56" t="s">
        <v>263</v>
      </c>
    </row>
    <row r="41" spans="1:5" ht="18" customHeight="1" x14ac:dyDescent="0.35">
      <c r="A41" s="56" t="s">
        <v>89</v>
      </c>
      <c r="B41" s="56" t="s">
        <v>305</v>
      </c>
      <c r="C41" s="56" t="s">
        <v>258</v>
      </c>
      <c r="D41" s="56" t="s">
        <v>262</v>
      </c>
      <c r="E41" s="56" t="s">
        <v>263</v>
      </c>
    </row>
    <row r="42" spans="1:5" ht="18" customHeight="1" x14ac:dyDescent="0.35">
      <c r="A42" s="56" t="s">
        <v>78</v>
      </c>
      <c r="B42" s="56" t="s">
        <v>306</v>
      </c>
      <c r="C42" s="56" t="s">
        <v>254</v>
      </c>
      <c r="D42" s="56" t="s">
        <v>262</v>
      </c>
      <c r="E42" s="56" t="s">
        <v>263</v>
      </c>
    </row>
    <row r="43" spans="1:5" ht="18" customHeight="1" x14ac:dyDescent="0.35">
      <c r="A43" s="56" t="s">
        <v>43</v>
      </c>
      <c r="B43" s="56" t="s">
        <v>264</v>
      </c>
      <c r="C43" s="56" t="s">
        <v>258</v>
      </c>
      <c r="D43" s="56" t="s">
        <v>262</v>
      </c>
      <c r="E43" s="56" t="s">
        <v>263</v>
      </c>
    </row>
    <row r="44" spans="1:5" ht="18" customHeight="1" x14ac:dyDescent="0.35">
      <c r="A44" s="56" t="s">
        <v>178</v>
      </c>
      <c r="B44" s="56" t="s">
        <v>307</v>
      </c>
      <c r="C44" s="56" t="s">
        <v>282</v>
      </c>
      <c r="D44" s="56" t="s">
        <v>259</v>
      </c>
      <c r="E44" s="56" t="s">
        <v>260</v>
      </c>
    </row>
    <row r="45" spans="1:5" ht="18" customHeight="1" x14ac:dyDescent="0.35">
      <c r="A45" s="56" t="s">
        <v>32</v>
      </c>
      <c r="B45" s="56" t="s">
        <v>308</v>
      </c>
      <c r="C45" s="56" t="s">
        <v>254</v>
      </c>
      <c r="D45" s="56" t="s">
        <v>283</v>
      </c>
      <c r="E45" s="56" t="s">
        <v>284</v>
      </c>
    </row>
    <row r="46" spans="1:5" ht="18" customHeight="1" x14ac:dyDescent="0.35">
      <c r="A46" s="56" t="s">
        <v>60</v>
      </c>
      <c r="B46" s="56" t="s">
        <v>257</v>
      </c>
      <c r="C46" s="56" t="s">
        <v>282</v>
      </c>
      <c r="D46" s="56" t="s">
        <v>262</v>
      </c>
      <c r="E46" s="56" t="s">
        <v>263</v>
      </c>
    </row>
    <row r="47" spans="1:5" ht="18" customHeight="1" x14ac:dyDescent="0.35">
      <c r="A47" s="56" t="s">
        <v>57</v>
      </c>
      <c r="B47" s="56" t="s">
        <v>257</v>
      </c>
      <c r="C47" s="56" t="s">
        <v>258</v>
      </c>
      <c r="D47" s="56" t="s">
        <v>270</v>
      </c>
      <c r="E47" s="56" t="s">
        <v>271</v>
      </c>
    </row>
    <row r="48" spans="1:5" ht="18" customHeight="1" x14ac:dyDescent="0.35">
      <c r="A48" s="56" t="s">
        <v>71</v>
      </c>
      <c r="B48" s="56" t="s">
        <v>293</v>
      </c>
      <c r="C48" s="56" t="s">
        <v>282</v>
      </c>
      <c r="D48" s="56" t="s">
        <v>270</v>
      </c>
      <c r="E48" s="56" t="s">
        <v>271</v>
      </c>
    </row>
    <row r="49" spans="1:5" ht="18" customHeight="1" x14ac:dyDescent="0.35">
      <c r="A49" s="56" t="s">
        <v>152</v>
      </c>
      <c r="B49" s="56" t="s">
        <v>264</v>
      </c>
      <c r="C49" s="56" t="s">
        <v>254</v>
      </c>
      <c r="D49" s="56" t="s">
        <v>270</v>
      </c>
      <c r="E49" s="56" t="s">
        <v>271</v>
      </c>
    </row>
    <row r="50" spans="1:5" ht="18" customHeight="1" x14ac:dyDescent="0.35">
      <c r="A50" s="56" t="s">
        <v>309</v>
      </c>
      <c r="B50" s="56" t="s">
        <v>310</v>
      </c>
      <c r="C50" s="56" t="s">
        <v>254</v>
      </c>
      <c r="D50" s="56" t="s">
        <v>270</v>
      </c>
      <c r="E50" s="56"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AmazonSales</vt:lpstr>
      <vt:lpstr>Customer Master</vt:lpstr>
      <vt:lpstr>Sales</vt:lpstr>
      <vt:lpstr>Advance Reporting</vt:lpstr>
      <vt:lpstr>Pivot Table</vt:lpstr>
      <vt:lpstr>Dashboard data</vt:lpstr>
      <vt:lpstr>Dashboard</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rahul gautam</cp:lastModifiedBy>
  <dcterms:created xsi:type="dcterms:W3CDTF">2025-07-17T15:44:57Z</dcterms:created>
  <dcterms:modified xsi:type="dcterms:W3CDTF">2026-02-21T18:00:57Z</dcterms:modified>
</cp:coreProperties>
</file>